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charts/chart2.xml" ContentType="application/vnd.openxmlformats-officedocument.drawingml.chart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yorim Lee\Dropbox\광운대학교_2026 2학기\회계정보와 의사결정\실습 템플릿\각 장별 실습 템플릿\3장\"/>
    </mc:Choice>
  </mc:AlternateContent>
  <xr:revisionPtr revIDLastSave="0" documentId="13_ncr:1_{8BF351E7-A781-4DB7-B457-C97F64F70C8E}" xr6:coauthVersionLast="47" xr6:coauthVersionMax="47" xr10:uidLastSave="{00000000-0000-0000-0000-000000000000}"/>
  <bookViews>
    <workbookView xWindow="57480" yWindow="6585" windowWidth="38640" windowHeight="21120" tabRatio="813" xr2:uid="{00000000-000D-0000-FFFF-FFFF00000000}"/>
  </bookViews>
  <sheets>
    <sheet name="00_사용안내" sheetId="13" r:id="rId1"/>
    <sheet name="1-1_기업선정" sheetId="2" r:id="rId2"/>
    <sheet name="1-2_기업개요비교" sheetId="3" r:id="rId3"/>
    <sheet name="1-3_주가추이_월별" sheetId="4" r:id="rId4"/>
    <sheet name="1-4_보고서비교" sheetId="5" r:id="rId5"/>
    <sheet name="1-5_애널리스트보고서" sheetId="6" r:id="rId6"/>
    <sheet name="1-6_신용평가보고서" sheetId="7" r:id="rId7"/>
    <sheet name="2-0_왜_이_실습인가" sheetId="8" r:id="rId8"/>
    <sheet name="2-1_재무상태표" sheetId="9" r:id="rId9"/>
    <sheet name="2-2_공통형_해석" sheetId="10" r:id="rId10"/>
    <sheet name="2-3_PBR_비교" sheetId="11" r:id="rId11"/>
    <sheet name="3-1_손익계산서" sheetId="12" r:id="rId1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6" i="12" l="1"/>
  <c r="P53" i="12"/>
  <c r="O53" i="12"/>
  <c r="N53" i="12"/>
  <c r="M53" i="12"/>
  <c r="L53" i="12"/>
  <c r="K53" i="12"/>
  <c r="I53" i="12"/>
  <c r="H53" i="12"/>
  <c r="G53" i="12"/>
  <c r="F53" i="12"/>
  <c r="E53" i="12"/>
  <c r="D53" i="12"/>
  <c r="P52" i="12"/>
  <c r="O52" i="12"/>
  <c r="N52" i="12"/>
  <c r="M52" i="12"/>
  <c r="L52" i="12"/>
  <c r="K52" i="12"/>
  <c r="I52" i="12"/>
  <c r="H52" i="12"/>
  <c r="G52" i="12"/>
  <c r="F52" i="12"/>
  <c r="E52" i="12"/>
  <c r="D52" i="12"/>
  <c r="P47" i="12"/>
  <c r="O47" i="12"/>
  <c r="N47" i="12"/>
  <c r="M47" i="12"/>
  <c r="L47" i="12"/>
  <c r="I47" i="12"/>
  <c r="H47" i="12"/>
  <c r="G47" i="12"/>
  <c r="F47" i="12"/>
  <c r="E47" i="12"/>
  <c r="P46" i="12"/>
  <c r="O46" i="12"/>
  <c r="N46" i="12"/>
  <c r="M46" i="12"/>
  <c r="L46" i="12"/>
  <c r="I46" i="12"/>
  <c r="H46" i="12"/>
  <c r="G46" i="12"/>
  <c r="F46" i="12"/>
  <c r="P45" i="12"/>
  <c r="O45" i="12"/>
  <c r="N45" i="12"/>
  <c r="M45" i="12"/>
  <c r="L45" i="12"/>
  <c r="I45" i="12"/>
  <c r="H45" i="12"/>
  <c r="G45" i="12"/>
  <c r="F45" i="12"/>
  <c r="E45" i="12"/>
  <c r="P44" i="12"/>
  <c r="O44" i="12"/>
  <c r="N44" i="12"/>
  <c r="M44" i="12"/>
  <c r="L44" i="12"/>
  <c r="I44" i="12"/>
  <c r="H44" i="12"/>
  <c r="G44" i="12"/>
  <c r="F44" i="12"/>
  <c r="E44" i="12"/>
  <c r="P43" i="12"/>
  <c r="O43" i="12"/>
  <c r="N43" i="12"/>
  <c r="M43" i="12"/>
  <c r="L43" i="12"/>
  <c r="I43" i="12"/>
  <c r="H43" i="12"/>
  <c r="G43" i="12"/>
  <c r="F43" i="12"/>
  <c r="E43" i="12"/>
  <c r="P41" i="12"/>
  <c r="O41" i="12"/>
  <c r="N41" i="12"/>
  <c r="M41" i="12"/>
  <c r="L41" i="12"/>
  <c r="I41" i="12"/>
  <c r="H41" i="12"/>
  <c r="G41" i="12"/>
  <c r="F41" i="12"/>
  <c r="E41" i="12"/>
  <c r="P39" i="12"/>
  <c r="O39" i="12"/>
  <c r="N39" i="12"/>
  <c r="M39" i="12"/>
  <c r="L39" i="12"/>
  <c r="I39" i="12"/>
  <c r="H39" i="12"/>
  <c r="G39" i="12"/>
  <c r="F39" i="12"/>
  <c r="E39" i="12"/>
  <c r="P38" i="12"/>
  <c r="O38" i="12"/>
  <c r="N38" i="12"/>
  <c r="M38" i="12"/>
  <c r="L38" i="12"/>
  <c r="I38" i="12"/>
  <c r="H38" i="12"/>
  <c r="G38" i="12"/>
  <c r="F38" i="12"/>
  <c r="E38" i="12"/>
  <c r="P37" i="12"/>
  <c r="O37" i="12"/>
  <c r="N37" i="12"/>
  <c r="M37" i="12"/>
  <c r="L37" i="12"/>
  <c r="I37" i="12"/>
  <c r="H37" i="12"/>
  <c r="G37" i="12"/>
  <c r="F37" i="12"/>
  <c r="E37" i="12"/>
  <c r="P36" i="12"/>
  <c r="O36" i="12"/>
  <c r="N36" i="12"/>
  <c r="M36" i="12"/>
  <c r="L36" i="12"/>
  <c r="I36" i="12"/>
  <c r="H36" i="12"/>
  <c r="G36" i="12"/>
  <c r="F36" i="12"/>
  <c r="E36" i="12"/>
  <c r="P35" i="12"/>
  <c r="O35" i="12"/>
  <c r="N35" i="12"/>
  <c r="M35" i="12"/>
  <c r="L35" i="12"/>
  <c r="I35" i="12"/>
  <c r="H35" i="12"/>
  <c r="G35" i="12"/>
  <c r="F35" i="12"/>
  <c r="E35" i="12"/>
  <c r="P33" i="12"/>
  <c r="O33" i="12"/>
  <c r="N33" i="12"/>
  <c r="M33" i="12"/>
  <c r="L33" i="12"/>
  <c r="I33" i="12"/>
  <c r="H33" i="12"/>
  <c r="G33" i="12"/>
  <c r="F33" i="12"/>
  <c r="E33" i="12"/>
  <c r="P31" i="12"/>
  <c r="O31" i="12"/>
  <c r="N31" i="12"/>
  <c r="M31" i="12"/>
  <c r="L31" i="12"/>
  <c r="I31" i="12"/>
  <c r="H31" i="12"/>
  <c r="G31" i="12"/>
  <c r="F31" i="12"/>
  <c r="E31" i="12"/>
  <c r="P30" i="12"/>
  <c r="O30" i="12"/>
  <c r="N30" i="12"/>
  <c r="M30" i="12"/>
  <c r="L30" i="12"/>
  <c r="I30" i="12"/>
  <c r="H30" i="12"/>
  <c r="G30" i="12"/>
  <c r="F30" i="12"/>
  <c r="E30" i="12"/>
  <c r="P22" i="12"/>
  <c r="AF22" i="12" s="1"/>
  <c r="O22" i="12"/>
  <c r="AE22" i="12" s="1"/>
  <c r="N22" i="12"/>
  <c r="AD22" i="12" s="1"/>
  <c r="M22" i="12"/>
  <c r="AC22" i="12" s="1"/>
  <c r="L22" i="12"/>
  <c r="AB22" i="12" s="1"/>
  <c r="K22" i="12"/>
  <c r="AA22" i="12" s="1"/>
  <c r="I22" i="12"/>
  <c r="Y22" i="12" s="1"/>
  <c r="H22" i="12"/>
  <c r="X22" i="12" s="1"/>
  <c r="G22" i="12"/>
  <c r="W22" i="12" s="1"/>
  <c r="F22" i="12"/>
  <c r="V22" i="12" s="1"/>
  <c r="E22" i="12"/>
  <c r="U22" i="12" s="1"/>
  <c r="D22" i="12"/>
  <c r="T22" i="12" s="1"/>
  <c r="AF21" i="12"/>
  <c r="AE21" i="12"/>
  <c r="AD21" i="12"/>
  <c r="AC21" i="12"/>
  <c r="AB21" i="12"/>
  <c r="AA21" i="12"/>
  <c r="Y21" i="12"/>
  <c r="X21" i="12"/>
  <c r="W21" i="12"/>
  <c r="V21" i="12"/>
  <c r="U21" i="12"/>
  <c r="T21" i="12"/>
  <c r="AF20" i="12"/>
  <c r="AE20" i="12"/>
  <c r="AD20" i="12"/>
  <c r="AC20" i="12"/>
  <c r="AB20" i="12"/>
  <c r="AA20" i="12"/>
  <c r="Y20" i="12"/>
  <c r="X20" i="12"/>
  <c r="W20" i="12"/>
  <c r="V20" i="12"/>
  <c r="U20" i="12"/>
  <c r="T20" i="12"/>
  <c r="AF19" i="12"/>
  <c r="AE19" i="12"/>
  <c r="AD19" i="12"/>
  <c r="AC19" i="12"/>
  <c r="AB19" i="12"/>
  <c r="AA19" i="12"/>
  <c r="Y19" i="12"/>
  <c r="X19" i="12"/>
  <c r="W19" i="12"/>
  <c r="V19" i="12"/>
  <c r="U19" i="12"/>
  <c r="T19" i="12"/>
  <c r="P18" i="12"/>
  <c r="O18" i="12"/>
  <c r="N18" i="12"/>
  <c r="M18" i="12"/>
  <c r="L18" i="12"/>
  <c r="K18" i="12"/>
  <c r="I18" i="12"/>
  <c r="H18" i="12"/>
  <c r="G18" i="12"/>
  <c r="F18" i="12"/>
  <c r="E18" i="12"/>
  <c r="D18" i="12"/>
  <c r="T18" i="12" s="1"/>
  <c r="AF17" i="12"/>
  <c r="AE17" i="12"/>
  <c r="AD17" i="12"/>
  <c r="AC17" i="12"/>
  <c r="AB17" i="12"/>
  <c r="AA17" i="12"/>
  <c r="Y17" i="12"/>
  <c r="X17" i="12"/>
  <c r="W17" i="12"/>
  <c r="V17" i="12"/>
  <c r="U17" i="12"/>
  <c r="T17" i="12"/>
  <c r="P16" i="12"/>
  <c r="O16" i="12"/>
  <c r="N16" i="12"/>
  <c r="M16" i="12"/>
  <c r="L16" i="12"/>
  <c r="K16" i="12"/>
  <c r="AA16" i="12" s="1"/>
  <c r="I16" i="12"/>
  <c r="H16" i="12"/>
  <c r="G16" i="12"/>
  <c r="F16" i="12"/>
  <c r="E16" i="12"/>
  <c r="D16" i="12"/>
  <c r="T16" i="12" s="1"/>
  <c r="AF15" i="12"/>
  <c r="AE15" i="12"/>
  <c r="AD15" i="12"/>
  <c r="AC15" i="12"/>
  <c r="AB15" i="12"/>
  <c r="AA15" i="12"/>
  <c r="Y15" i="12"/>
  <c r="X15" i="12"/>
  <c r="W15" i="12"/>
  <c r="V15" i="12"/>
  <c r="U15" i="12"/>
  <c r="T15" i="12"/>
  <c r="AF14" i="12"/>
  <c r="AE14" i="12"/>
  <c r="AD14" i="12"/>
  <c r="AC14" i="12"/>
  <c r="AB14" i="12"/>
  <c r="AA14" i="12"/>
  <c r="Y14" i="12"/>
  <c r="X14" i="12"/>
  <c r="W14" i="12"/>
  <c r="V14" i="12"/>
  <c r="U14" i="12"/>
  <c r="T14" i="12"/>
  <c r="AF13" i="12"/>
  <c r="AE13" i="12"/>
  <c r="AD13" i="12"/>
  <c r="AC13" i="12"/>
  <c r="AB13" i="12"/>
  <c r="AA13" i="12"/>
  <c r="Y13" i="12"/>
  <c r="X13" i="12"/>
  <c r="W13" i="12"/>
  <c r="V13" i="12"/>
  <c r="U13" i="12"/>
  <c r="T13" i="12"/>
  <c r="AF12" i="12"/>
  <c r="AE12" i="12"/>
  <c r="AD12" i="12"/>
  <c r="AC12" i="12"/>
  <c r="AB12" i="12"/>
  <c r="AA12" i="12"/>
  <c r="Y12" i="12"/>
  <c r="X12" i="12"/>
  <c r="W12" i="12"/>
  <c r="V12" i="12"/>
  <c r="U12" i="12"/>
  <c r="T12" i="12"/>
  <c r="AF11" i="12"/>
  <c r="AE11" i="12"/>
  <c r="AD11" i="12"/>
  <c r="AC11" i="12"/>
  <c r="AB11" i="12"/>
  <c r="AA11" i="12"/>
  <c r="Y11" i="12"/>
  <c r="X11" i="12"/>
  <c r="W11" i="12"/>
  <c r="V11" i="12"/>
  <c r="U11" i="12"/>
  <c r="T11" i="12"/>
  <c r="AF9" i="12"/>
  <c r="AE9" i="12"/>
  <c r="AD9" i="12"/>
  <c r="AC9" i="12"/>
  <c r="AB9" i="12"/>
  <c r="AA9" i="12"/>
  <c r="Y9" i="12"/>
  <c r="X9" i="12"/>
  <c r="W9" i="12"/>
  <c r="V9" i="12"/>
  <c r="U9" i="12"/>
  <c r="T9" i="12"/>
  <c r="P8" i="12"/>
  <c r="O8" i="12"/>
  <c r="N8" i="12"/>
  <c r="M8" i="12"/>
  <c r="L8" i="12"/>
  <c r="K8" i="12"/>
  <c r="I8" i="12"/>
  <c r="H8" i="12"/>
  <c r="X8" i="12" s="1"/>
  <c r="G8" i="12"/>
  <c r="F8" i="12"/>
  <c r="E8" i="12"/>
  <c r="D8" i="12"/>
  <c r="AF7" i="12"/>
  <c r="AE7" i="12"/>
  <c r="AD7" i="12"/>
  <c r="AC7" i="12"/>
  <c r="AB7" i="12"/>
  <c r="AA7" i="12"/>
  <c r="Y7" i="12"/>
  <c r="X7" i="12"/>
  <c r="W7" i="12"/>
  <c r="V7" i="12"/>
  <c r="U7" i="12"/>
  <c r="T7" i="12"/>
  <c r="AF6" i="12"/>
  <c r="AE6" i="12"/>
  <c r="AD6" i="12"/>
  <c r="AC6" i="12"/>
  <c r="AB6" i="12"/>
  <c r="AA6" i="12"/>
  <c r="Y6" i="12"/>
  <c r="X6" i="12"/>
  <c r="W6" i="12"/>
  <c r="V6" i="12"/>
  <c r="U6" i="12"/>
  <c r="T6" i="12"/>
  <c r="P14" i="11"/>
  <c r="P12" i="11"/>
  <c r="P54" i="12" s="1"/>
  <c r="O12" i="11"/>
  <c r="O14" i="11" s="1"/>
  <c r="N12" i="11"/>
  <c r="M12" i="11"/>
  <c r="M14" i="11" s="1"/>
  <c r="L12" i="11"/>
  <c r="L14" i="11" s="1"/>
  <c r="K12" i="11"/>
  <c r="I12" i="11"/>
  <c r="H12" i="11"/>
  <c r="G12" i="11"/>
  <c r="G14" i="11" s="1"/>
  <c r="F12" i="11"/>
  <c r="F14" i="11" s="1"/>
  <c r="F57" i="12" s="1"/>
  <c r="E12" i="11"/>
  <c r="E14" i="11" s="1"/>
  <c r="E57" i="12" s="1"/>
  <c r="D12" i="11"/>
  <c r="D14" i="11" s="1"/>
  <c r="P8" i="11"/>
  <c r="O8" i="11"/>
  <c r="N8" i="11"/>
  <c r="M8" i="11"/>
  <c r="L8" i="11"/>
  <c r="K8" i="11"/>
  <c r="I8" i="11"/>
  <c r="H8" i="11"/>
  <c r="G8" i="11"/>
  <c r="F8" i="11"/>
  <c r="E8" i="11"/>
  <c r="D8" i="11"/>
  <c r="AK65" i="9"/>
  <c r="P63" i="9"/>
  <c r="P7" i="11" s="1"/>
  <c r="O63" i="9"/>
  <c r="O7" i="11" s="1"/>
  <c r="N63" i="9"/>
  <c r="N7" i="11" s="1"/>
  <c r="M63" i="9"/>
  <c r="M7" i="11" s="1"/>
  <c r="L63" i="9"/>
  <c r="L7" i="11" s="1"/>
  <c r="K63" i="9"/>
  <c r="K7" i="11" s="1"/>
  <c r="I63" i="9"/>
  <c r="H63" i="9"/>
  <c r="H7" i="11" s="1"/>
  <c r="G63" i="9"/>
  <c r="G7" i="11" s="1"/>
  <c r="F63" i="9"/>
  <c r="F7" i="11" s="1"/>
  <c r="E63" i="9"/>
  <c r="E7" i="11" s="1"/>
  <c r="D63" i="9"/>
  <c r="D7" i="11" s="1"/>
  <c r="AP62" i="9"/>
  <c r="AO62" i="9"/>
  <c r="AN62" i="9"/>
  <c r="AM62" i="9"/>
  <c r="AL62" i="9"/>
  <c r="AJ62" i="9"/>
  <c r="AI62" i="9"/>
  <c r="AH62" i="9"/>
  <c r="AG62" i="9"/>
  <c r="AF62" i="9"/>
  <c r="AP61" i="9"/>
  <c r="AO61" i="9"/>
  <c r="AN61" i="9"/>
  <c r="AM61" i="9"/>
  <c r="AL61" i="9"/>
  <c r="AJ61" i="9"/>
  <c r="AI61" i="9"/>
  <c r="AH61" i="9"/>
  <c r="AG61" i="9"/>
  <c r="AF61" i="9"/>
  <c r="AP60" i="9"/>
  <c r="AO60" i="9"/>
  <c r="AN60" i="9"/>
  <c r="AM60" i="9"/>
  <c r="AL60" i="9"/>
  <c r="AJ60" i="9"/>
  <c r="AI60" i="9"/>
  <c r="AH60" i="9"/>
  <c r="AG60" i="9"/>
  <c r="AF60" i="9"/>
  <c r="AP59" i="9"/>
  <c r="AO59" i="9"/>
  <c r="AN59" i="9"/>
  <c r="AM59" i="9"/>
  <c r="AL59" i="9"/>
  <c r="AJ59" i="9"/>
  <c r="AI59" i="9"/>
  <c r="AH59" i="9"/>
  <c r="AG59" i="9"/>
  <c r="AF59" i="9"/>
  <c r="AP58" i="9"/>
  <c r="AO58" i="9"/>
  <c r="AN58" i="9"/>
  <c r="AM58" i="9"/>
  <c r="AL58" i="9"/>
  <c r="AJ58" i="9"/>
  <c r="AI58" i="9"/>
  <c r="AH58" i="9"/>
  <c r="AG58" i="9"/>
  <c r="AF58" i="9"/>
  <c r="AP57" i="9"/>
  <c r="AO57" i="9"/>
  <c r="AN57" i="9"/>
  <c r="AM57" i="9"/>
  <c r="AL57" i="9"/>
  <c r="AJ57" i="9"/>
  <c r="AI57" i="9"/>
  <c r="AH57" i="9"/>
  <c r="AG57" i="9"/>
  <c r="AF57" i="9"/>
  <c r="P54" i="9"/>
  <c r="O54" i="9"/>
  <c r="N54" i="9"/>
  <c r="M54" i="9"/>
  <c r="L54" i="9"/>
  <c r="K54" i="9"/>
  <c r="I54" i="9"/>
  <c r="H54" i="9"/>
  <c r="G54" i="9"/>
  <c r="F54" i="9"/>
  <c r="E54" i="9"/>
  <c r="D54" i="9"/>
  <c r="AP53" i="9"/>
  <c r="AO53" i="9"/>
  <c r="AN53" i="9"/>
  <c r="AM53" i="9"/>
  <c r="AL53" i="9"/>
  <c r="AJ53" i="9"/>
  <c r="AI53" i="9"/>
  <c r="AH53" i="9"/>
  <c r="AG53" i="9"/>
  <c r="AF53" i="9"/>
  <c r="AP52" i="9"/>
  <c r="AO52" i="9"/>
  <c r="AN52" i="9"/>
  <c r="AM52" i="9"/>
  <c r="AL52" i="9"/>
  <c r="AJ52" i="9"/>
  <c r="AI52" i="9"/>
  <c r="AH52" i="9"/>
  <c r="AG52" i="9"/>
  <c r="AF52" i="9"/>
  <c r="AP51" i="9"/>
  <c r="AO51" i="9"/>
  <c r="AN51" i="9"/>
  <c r="AM51" i="9"/>
  <c r="AL51" i="9"/>
  <c r="AJ51" i="9"/>
  <c r="AI51" i="9"/>
  <c r="AH51" i="9"/>
  <c r="AG51" i="9"/>
  <c r="AF51" i="9"/>
  <c r="AP50" i="9"/>
  <c r="AO50" i="9"/>
  <c r="AN50" i="9"/>
  <c r="AM50" i="9"/>
  <c r="AL50" i="9"/>
  <c r="AJ50" i="9"/>
  <c r="AI50" i="9"/>
  <c r="AH50" i="9"/>
  <c r="AG50" i="9"/>
  <c r="AF50" i="9"/>
  <c r="AP49" i="9"/>
  <c r="AO49" i="9"/>
  <c r="AN49" i="9"/>
  <c r="AM49" i="9"/>
  <c r="AL49" i="9"/>
  <c r="AJ49" i="9"/>
  <c r="AI49" i="9"/>
  <c r="AH49" i="9"/>
  <c r="AG49" i="9"/>
  <c r="AF49" i="9"/>
  <c r="AP48" i="9"/>
  <c r="AO48" i="9"/>
  <c r="AN48" i="9"/>
  <c r="AM48" i="9"/>
  <c r="AL48" i="9"/>
  <c r="AJ48" i="9"/>
  <c r="AI48" i="9"/>
  <c r="AH48" i="9"/>
  <c r="AG48" i="9"/>
  <c r="AF48" i="9"/>
  <c r="AP47" i="9"/>
  <c r="AO47" i="9"/>
  <c r="AN47" i="9"/>
  <c r="AM47" i="9"/>
  <c r="AL47" i="9"/>
  <c r="AJ47" i="9"/>
  <c r="AI47" i="9"/>
  <c r="AH47" i="9"/>
  <c r="AG47" i="9"/>
  <c r="AF47" i="9"/>
  <c r="AP46" i="9"/>
  <c r="AO46" i="9"/>
  <c r="AN46" i="9"/>
  <c r="AM46" i="9"/>
  <c r="AL46" i="9"/>
  <c r="AJ46" i="9"/>
  <c r="AI46" i="9"/>
  <c r="AH46" i="9"/>
  <c r="AG46" i="9"/>
  <c r="AF46" i="9"/>
  <c r="AP45" i="9"/>
  <c r="AO45" i="9"/>
  <c r="AN45" i="9"/>
  <c r="AM45" i="9"/>
  <c r="AL45" i="9"/>
  <c r="AJ45" i="9"/>
  <c r="AI45" i="9"/>
  <c r="AH45" i="9"/>
  <c r="AG45" i="9"/>
  <c r="AF45" i="9"/>
  <c r="P43" i="9"/>
  <c r="O43" i="9"/>
  <c r="N43" i="9"/>
  <c r="M43" i="9"/>
  <c r="L43" i="9"/>
  <c r="L55" i="9" s="1"/>
  <c r="K43" i="9"/>
  <c r="K55" i="9" s="1"/>
  <c r="I43" i="9"/>
  <c r="H43" i="9"/>
  <c r="G43" i="9"/>
  <c r="F43" i="9"/>
  <c r="E43" i="9"/>
  <c r="E55" i="9" s="1"/>
  <c r="D43" i="9"/>
  <c r="AP42" i="9"/>
  <c r="AO42" i="9"/>
  <c r="AN42" i="9"/>
  <c r="AM42" i="9"/>
  <c r="AL42" i="9"/>
  <c r="AJ42" i="9"/>
  <c r="AI42" i="9"/>
  <c r="AH42" i="9"/>
  <c r="AG42" i="9"/>
  <c r="AF42" i="9"/>
  <c r="AP41" i="9"/>
  <c r="AO41" i="9"/>
  <c r="AN41" i="9"/>
  <c r="AM41" i="9"/>
  <c r="AL41" i="9"/>
  <c r="AJ41" i="9"/>
  <c r="AI41" i="9"/>
  <c r="AH41" i="9"/>
  <c r="AG41" i="9"/>
  <c r="AF41" i="9"/>
  <c r="AP40" i="9"/>
  <c r="AO40" i="9"/>
  <c r="AN40" i="9"/>
  <c r="AM40" i="9"/>
  <c r="AL40" i="9"/>
  <c r="AJ40" i="9"/>
  <c r="AI40" i="9"/>
  <c r="AH40" i="9"/>
  <c r="AG40" i="9"/>
  <c r="AF40" i="9"/>
  <c r="AP39" i="9"/>
  <c r="AO39" i="9"/>
  <c r="AN39" i="9"/>
  <c r="AM39" i="9"/>
  <c r="AL39" i="9"/>
  <c r="AJ39" i="9"/>
  <c r="AI39" i="9"/>
  <c r="AH39" i="9"/>
  <c r="AG39" i="9"/>
  <c r="AF39" i="9"/>
  <c r="AP38" i="9"/>
  <c r="AO38" i="9"/>
  <c r="AN38" i="9"/>
  <c r="AM38" i="9"/>
  <c r="AL38" i="9"/>
  <c r="AJ38" i="9"/>
  <c r="AI38" i="9"/>
  <c r="AH38" i="9"/>
  <c r="AG38" i="9"/>
  <c r="AF38" i="9"/>
  <c r="AP37" i="9"/>
  <c r="AO37" i="9"/>
  <c r="AN37" i="9"/>
  <c r="AM37" i="9"/>
  <c r="AL37" i="9"/>
  <c r="AJ37" i="9"/>
  <c r="AI37" i="9"/>
  <c r="AH37" i="9"/>
  <c r="AG37" i="9"/>
  <c r="AF37" i="9"/>
  <c r="AP36" i="9"/>
  <c r="AO36" i="9"/>
  <c r="AN36" i="9"/>
  <c r="AM36" i="9"/>
  <c r="AL36" i="9"/>
  <c r="AJ36" i="9"/>
  <c r="AI36" i="9"/>
  <c r="AH36" i="9"/>
  <c r="AG36" i="9"/>
  <c r="AF36" i="9"/>
  <c r="AP35" i="9"/>
  <c r="AO35" i="9"/>
  <c r="AN35" i="9"/>
  <c r="AM35" i="9"/>
  <c r="AL35" i="9"/>
  <c r="AJ35" i="9"/>
  <c r="AI35" i="9"/>
  <c r="AH35" i="9"/>
  <c r="AG35" i="9"/>
  <c r="AF35" i="9"/>
  <c r="AP34" i="9"/>
  <c r="AO34" i="9"/>
  <c r="AN34" i="9"/>
  <c r="AM34" i="9"/>
  <c r="AL34" i="9"/>
  <c r="AJ34" i="9"/>
  <c r="AI34" i="9"/>
  <c r="AH34" i="9"/>
  <c r="AG34" i="9"/>
  <c r="AF34" i="9"/>
  <c r="AP33" i="9"/>
  <c r="AO33" i="9"/>
  <c r="AN33" i="9"/>
  <c r="AM33" i="9"/>
  <c r="AL33" i="9"/>
  <c r="AJ33" i="9"/>
  <c r="AI33" i="9"/>
  <c r="AH33" i="9"/>
  <c r="AG33" i="9"/>
  <c r="AF33" i="9"/>
  <c r="P30" i="9"/>
  <c r="O30" i="9"/>
  <c r="N30" i="9"/>
  <c r="M30" i="9"/>
  <c r="L30" i="9"/>
  <c r="K30" i="9"/>
  <c r="I30" i="9"/>
  <c r="H30" i="9"/>
  <c r="G30" i="9"/>
  <c r="F30" i="9"/>
  <c r="E30" i="9"/>
  <c r="D30" i="9"/>
  <c r="AP29" i="9"/>
  <c r="AO29" i="9"/>
  <c r="AN29" i="9"/>
  <c r="AM29" i="9"/>
  <c r="AL29" i="9"/>
  <c r="AJ29" i="9"/>
  <c r="AI29" i="9"/>
  <c r="AH29" i="9"/>
  <c r="AG29" i="9"/>
  <c r="AF29" i="9"/>
  <c r="AP28" i="9"/>
  <c r="AO28" i="9"/>
  <c r="AN28" i="9"/>
  <c r="AM28" i="9"/>
  <c r="AL28" i="9"/>
  <c r="AJ28" i="9"/>
  <c r="AI28" i="9"/>
  <c r="AH28" i="9"/>
  <c r="AG28" i="9"/>
  <c r="AF28" i="9"/>
  <c r="AP27" i="9"/>
  <c r="AO27" i="9"/>
  <c r="AN27" i="9"/>
  <c r="AM27" i="9"/>
  <c r="AL27" i="9"/>
  <c r="AJ27" i="9"/>
  <c r="AI27" i="9"/>
  <c r="AH27" i="9"/>
  <c r="AG27" i="9"/>
  <c r="AF27" i="9"/>
  <c r="AP26" i="9"/>
  <c r="AO26" i="9"/>
  <c r="AN26" i="9"/>
  <c r="AM26" i="9"/>
  <c r="AL26" i="9"/>
  <c r="AJ26" i="9"/>
  <c r="AI26" i="9"/>
  <c r="AH26" i="9"/>
  <c r="AG26" i="9"/>
  <c r="AF26" i="9"/>
  <c r="AP25" i="9"/>
  <c r="AO25" i="9"/>
  <c r="AN25" i="9"/>
  <c r="AM25" i="9"/>
  <c r="AL25" i="9"/>
  <c r="AJ25" i="9"/>
  <c r="AI25" i="9"/>
  <c r="AH25" i="9"/>
  <c r="AG25" i="9"/>
  <c r="AF25" i="9"/>
  <c r="AP24" i="9"/>
  <c r="AO24" i="9"/>
  <c r="AN24" i="9"/>
  <c r="AM24" i="9"/>
  <c r="AL24" i="9"/>
  <c r="AJ24" i="9"/>
  <c r="AI24" i="9"/>
  <c r="AH24" i="9"/>
  <c r="AG24" i="9"/>
  <c r="AF24" i="9"/>
  <c r="AP23" i="9"/>
  <c r="AO23" i="9"/>
  <c r="AN23" i="9"/>
  <c r="AM23" i="9"/>
  <c r="AL23" i="9"/>
  <c r="AJ23" i="9"/>
  <c r="AI23" i="9"/>
  <c r="AH23" i="9"/>
  <c r="AG23" i="9"/>
  <c r="AF23" i="9"/>
  <c r="AP22" i="9"/>
  <c r="AO22" i="9"/>
  <c r="AN22" i="9"/>
  <c r="AM22" i="9"/>
  <c r="AL22" i="9"/>
  <c r="AJ22" i="9"/>
  <c r="AI22" i="9"/>
  <c r="AH22" i="9"/>
  <c r="AG22" i="9"/>
  <c r="AF22" i="9"/>
  <c r="AP21" i="9"/>
  <c r="AO21" i="9"/>
  <c r="AN21" i="9"/>
  <c r="AM21" i="9"/>
  <c r="AL21" i="9"/>
  <c r="AJ21" i="9"/>
  <c r="AI21" i="9"/>
  <c r="AH21" i="9"/>
  <c r="AG21" i="9"/>
  <c r="AF21" i="9"/>
  <c r="AP20" i="9"/>
  <c r="AO20" i="9"/>
  <c r="AN20" i="9"/>
  <c r="AM20" i="9"/>
  <c r="AL20" i="9"/>
  <c r="AJ20" i="9"/>
  <c r="AI20" i="9"/>
  <c r="AH20" i="9"/>
  <c r="AG20" i="9"/>
  <c r="AF20" i="9"/>
  <c r="AP19" i="9"/>
  <c r="AO19" i="9"/>
  <c r="AN19" i="9"/>
  <c r="AM19" i="9"/>
  <c r="AL19" i="9"/>
  <c r="AJ19" i="9"/>
  <c r="AI19" i="9"/>
  <c r="AH19" i="9"/>
  <c r="AG19" i="9"/>
  <c r="AF19" i="9"/>
  <c r="AP18" i="9"/>
  <c r="AO18" i="9"/>
  <c r="AN18" i="9"/>
  <c r="AM18" i="9"/>
  <c r="AL18" i="9"/>
  <c r="AJ18" i="9"/>
  <c r="AI18" i="9"/>
  <c r="AH18" i="9"/>
  <c r="AG18" i="9"/>
  <c r="AF18" i="9"/>
  <c r="P16" i="9"/>
  <c r="O16" i="9"/>
  <c r="N16" i="9"/>
  <c r="M16" i="9"/>
  <c r="L16" i="9"/>
  <c r="K16" i="9"/>
  <c r="I16" i="9"/>
  <c r="H16" i="9"/>
  <c r="G16" i="9"/>
  <c r="F16" i="9"/>
  <c r="E16" i="9"/>
  <c r="D16" i="9"/>
  <c r="AP15" i="9"/>
  <c r="AO15" i="9"/>
  <c r="AN15" i="9"/>
  <c r="AM15" i="9"/>
  <c r="AL15" i="9"/>
  <c r="AJ15" i="9"/>
  <c r="AI15" i="9"/>
  <c r="AH15" i="9"/>
  <c r="AG15" i="9"/>
  <c r="AF15" i="9"/>
  <c r="AP14" i="9"/>
  <c r="AO14" i="9"/>
  <c r="AN14" i="9"/>
  <c r="AM14" i="9"/>
  <c r="AL14" i="9"/>
  <c r="AJ14" i="9"/>
  <c r="AI14" i="9"/>
  <c r="AH14" i="9"/>
  <c r="AG14" i="9"/>
  <c r="AF14" i="9"/>
  <c r="AP13" i="9"/>
  <c r="AO13" i="9"/>
  <c r="AN13" i="9"/>
  <c r="AM13" i="9"/>
  <c r="AL13" i="9"/>
  <c r="AJ13" i="9"/>
  <c r="AI13" i="9"/>
  <c r="AH13" i="9"/>
  <c r="AG13" i="9"/>
  <c r="AF13" i="9"/>
  <c r="AP12" i="9"/>
  <c r="AO12" i="9"/>
  <c r="AN12" i="9"/>
  <c r="AM12" i="9"/>
  <c r="AL12" i="9"/>
  <c r="AJ12" i="9"/>
  <c r="AI12" i="9"/>
  <c r="AH12" i="9"/>
  <c r="AG12" i="9"/>
  <c r="AF12" i="9"/>
  <c r="AP11" i="9"/>
  <c r="AO11" i="9"/>
  <c r="AN11" i="9"/>
  <c r="AM11" i="9"/>
  <c r="AL11" i="9"/>
  <c r="AJ11" i="9"/>
  <c r="AI11" i="9"/>
  <c r="AH11" i="9"/>
  <c r="AG11" i="9"/>
  <c r="AF11" i="9"/>
  <c r="AP10" i="9"/>
  <c r="AO10" i="9"/>
  <c r="AN10" i="9"/>
  <c r="AM10" i="9"/>
  <c r="AL10" i="9"/>
  <c r="AJ10" i="9"/>
  <c r="AI10" i="9"/>
  <c r="AH10" i="9"/>
  <c r="AG10" i="9"/>
  <c r="AF10" i="9"/>
  <c r="AP9" i="9"/>
  <c r="AO9" i="9"/>
  <c r="AN9" i="9"/>
  <c r="AM9" i="9"/>
  <c r="AL9" i="9"/>
  <c r="AJ9" i="9"/>
  <c r="AI9" i="9"/>
  <c r="AH9" i="9"/>
  <c r="AG9" i="9"/>
  <c r="AF9" i="9"/>
  <c r="AP8" i="9"/>
  <c r="AO8" i="9"/>
  <c r="AN8" i="9"/>
  <c r="AM8" i="9"/>
  <c r="AL8" i="9"/>
  <c r="AJ8" i="9"/>
  <c r="AI8" i="9"/>
  <c r="AH8" i="9"/>
  <c r="AG8" i="9"/>
  <c r="AF8" i="9"/>
  <c r="AP7" i="9"/>
  <c r="AO7" i="9"/>
  <c r="AN7" i="9"/>
  <c r="AM7" i="9"/>
  <c r="AL7" i="9"/>
  <c r="AJ7" i="9"/>
  <c r="AI7" i="9"/>
  <c r="AH7" i="9"/>
  <c r="AG7" i="9"/>
  <c r="AF7" i="9"/>
  <c r="I73" i="4"/>
  <c r="H73" i="4"/>
  <c r="G73" i="4"/>
  <c r="I72" i="4"/>
  <c r="H72" i="4"/>
  <c r="G72" i="4"/>
  <c r="I71" i="4"/>
  <c r="H71" i="4"/>
  <c r="G71" i="4"/>
  <c r="I70" i="4"/>
  <c r="H70" i="4"/>
  <c r="G70" i="4"/>
  <c r="I69" i="4"/>
  <c r="H69" i="4"/>
  <c r="G69" i="4"/>
  <c r="I68" i="4"/>
  <c r="H68" i="4"/>
  <c r="G68" i="4"/>
  <c r="I67" i="4"/>
  <c r="H67" i="4"/>
  <c r="G67" i="4"/>
  <c r="I66" i="4"/>
  <c r="H66" i="4"/>
  <c r="G66" i="4"/>
  <c r="I65" i="4"/>
  <c r="H65" i="4"/>
  <c r="G65" i="4"/>
  <c r="I64" i="4"/>
  <c r="H64" i="4"/>
  <c r="G64" i="4"/>
  <c r="I63" i="4"/>
  <c r="H63" i="4"/>
  <c r="G63" i="4"/>
  <c r="I62" i="4"/>
  <c r="H62" i="4"/>
  <c r="G62" i="4"/>
  <c r="I61" i="4"/>
  <c r="H61" i="4"/>
  <c r="G61" i="4"/>
  <c r="I60" i="4"/>
  <c r="H60" i="4"/>
  <c r="G60" i="4"/>
  <c r="I59" i="4"/>
  <c r="H59" i="4"/>
  <c r="G59" i="4"/>
  <c r="I58" i="4"/>
  <c r="H58" i="4"/>
  <c r="G58" i="4"/>
  <c r="I57" i="4"/>
  <c r="H57" i="4"/>
  <c r="G57" i="4"/>
  <c r="I56" i="4"/>
  <c r="H56" i="4"/>
  <c r="G56" i="4"/>
  <c r="I55" i="4"/>
  <c r="H55" i="4"/>
  <c r="G55" i="4"/>
  <c r="I54" i="4"/>
  <c r="H54" i="4"/>
  <c r="G54" i="4"/>
  <c r="I53" i="4"/>
  <c r="H53" i="4"/>
  <c r="G53" i="4"/>
  <c r="I52" i="4"/>
  <c r="H52" i="4"/>
  <c r="G52" i="4"/>
  <c r="I51" i="4"/>
  <c r="H51" i="4"/>
  <c r="G51" i="4"/>
  <c r="I50" i="4"/>
  <c r="H50" i="4"/>
  <c r="G50" i="4"/>
  <c r="I49" i="4"/>
  <c r="H49" i="4"/>
  <c r="G49" i="4"/>
  <c r="I48" i="4"/>
  <c r="H48" i="4"/>
  <c r="G48" i="4"/>
  <c r="I47" i="4"/>
  <c r="H47" i="4"/>
  <c r="G47" i="4"/>
  <c r="I46" i="4"/>
  <c r="H46" i="4"/>
  <c r="G46" i="4"/>
  <c r="I45" i="4"/>
  <c r="H45" i="4"/>
  <c r="G45" i="4"/>
  <c r="I44" i="4"/>
  <c r="H44" i="4"/>
  <c r="G44" i="4"/>
  <c r="I43" i="4"/>
  <c r="H43" i="4"/>
  <c r="G43" i="4"/>
  <c r="I42" i="4"/>
  <c r="H42" i="4"/>
  <c r="G42" i="4"/>
  <c r="I41" i="4"/>
  <c r="H41" i="4"/>
  <c r="G41" i="4"/>
  <c r="I40" i="4"/>
  <c r="H40" i="4"/>
  <c r="G40" i="4"/>
  <c r="I39" i="4"/>
  <c r="H39" i="4"/>
  <c r="G39" i="4"/>
  <c r="I38" i="4"/>
  <c r="H38" i="4"/>
  <c r="G38" i="4"/>
  <c r="I37" i="4"/>
  <c r="H37" i="4"/>
  <c r="G37" i="4"/>
  <c r="I36" i="4"/>
  <c r="H36" i="4"/>
  <c r="G36" i="4"/>
  <c r="I35" i="4"/>
  <c r="H35" i="4"/>
  <c r="G35" i="4"/>
  <c r="I34" i="4"/>
  <c r="H34" i="4"/>
  <c r="G34" i="4"/>
  <c r="I33" i="4"/>
  <c r="H33" i="4"/>
  <c r="G33" i="4"/>
  <c r="I32" i="4"/>
  <c r="H32" i="4"/>
  <c r="G32" i="4"/>
  <c r="I31" i="4"/>
  <c r="H31" i="4"/>
  <c r="G31" i="4"/>
  <c r="I30" i="4"/>
  <c r="H30" i="4"/>
  <c r="G30" i="4"/>
  <c r="I29" i="4"/>
  <c r="H29" i="4"/>
  <c r="G29" i="4"/>
  <c r="I28" i="4"/>
  <c r="H28" i="4"/>
  <c r="G28" i="4"/>
  <c r="I27" i="4"/>
  <c r="H27" i="4"/>
  <c r="G27" i="4"/>
  <c r="I26" i="4"/>
  <c r="H26" i="4"/>
  <c r="G26" i="4"/>
  <c r="I25" i="4"/>
  <c r="H25" i="4"/>
  <c r="G25" i="4"/>
  <c r="I24" i="4"/>
  <c r="H24" i="4"/>
  <c r="G24" i="4"/>
  <c r="I23" i="4"/>
  <c r="H23" i="4"/>
  <c r="G23" i="4"/>
  <c r="I22" i="4"/>
  <c r="H22" i="4"/>
  <c r="G22" i="4"/>
  <c r="I21" i="4"/>
  <c r="H21" i="4"/>
  <c r="G21" i="4"/>
  <c r="I20" i="4"/>
  <c r="H20" i="4"/>
  <c r="G20" i="4"/>
  <c r="I19" i="4"/>
  <c r="H19" i="4"/>
  <c r="G19" i="4"/>
  <c r="I18" i="4"/>
  <c r="H18" i="4"/>
  <c r="G18" i="4"/>
  <c r="I17" i="4"/>
  <c r="H17" i="4"/>
  <c r="G17" i="4"/>
  <c r="I16" i="4"/>
  <c r="H16" i="4"/>
  <c r="G16" i="4"/>
  <c r="I15" i="4"/>
  <c r="L15" i="4" s="1"/>
  <c r="L16" i="4" s="1"/>
  <c r="L17" i="4" s="1"/>
  <c r="L18" i="4" s="1"/>
  <c r="H15" i="4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K69" i="4" s="1"/>
  <c r="K70" i="4" s="1"/>
  <c r="K71" i="4" s="1"/>
  <c r="K72" i="4" s="1"/>
  <c r="K73" i="4" s="1"/>
  <c r="G15" i="4"/>
  <c r="J15" i="4" s="1"/>
  <c r="J16" i="4" s="1"/>
  <c r="I8" i="4"/>
  <c r="H8" i="4"/>
  <c r="G8" i="4"/>
  <c r="I7" i="4"/>
  <c r="H7" i="4"/>
  <c r="G7" i="4"/>
  <c r="L54" i="12" l="1"/>
  <c r="L55" i="12" s="1"/>
  <c r="L56" i="12" s="1"/>
  <c r="M54" i="12"/>
  <c r="M55" i="12" s="1"/>
  <c r="M56" i="12" s="1"/>
  <c r="O54" i="12"/>
  <c r="O55" i="12" s="1"/>
  <c r="O56" i="12" s="1"/>
  <c r="D54" i="12"/>
  <c r="E54" i="12"/>
  <c r="F54" i="12"/>
  <c r="G54" i="12"/>
  <c r="G55" i="12" s="1"/>
  <c r="D55" i="9"/>
  <c r="D67" i="9" s="1"/>
  <c r="AF65" i="9"/>
  <c r="L31" i="9"/>
  <c r="AM65" i="9"/>
  <c r="D31" i="9"/>
  <c r="R23" i="9" s="1"/>
  <c r="M31" i="9"/>
  <c r="AN65" i="9"/>
  <c r="E31" i="9"/>
  <c r="S34" i="9" s="1"/>
  <c r="N31" i="9"/>
  <c r="AO65" i="9"/>
  <c r="F31" i="9"/>
  <c r="T40" i="9" s="1"/>
  <c r="O31" i="9"/>
  <c r="AC39" i="9" s="1"/>
  <c r="AG65" i="9"/>
  <c r="AP65" i="9"/>
  <c r="G31" i="9"/>
  <c r="U40" i="9" s="1"/>
  <c r="P31" i="9"/>
  <c r="AD37" i="9" s="1"/>
  <c r="AH65" i="9"/>
  <c r="H31" i="9"/>
  <c r="V35" i="9" s="1"/>
  <c r="AI65" i="9"/>
  <c r="AL65" i="9"/>
  <c r="AJ65" i="9"/>
  <c r="K31" i="9"/>
  <c r="L19" i="4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J17" i="4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D55" i="12"/>
  <c r="D56" i="12" s="1"/>
  <c r="P55" i="12"/>
  <c r="P56" i="12" s="1"/>
  <c r="E55" i="12"/>
  <c r="E56" i="12" s="1"/>
  <c r="F55" i="12"/>
  <c r="N54" i="12"/>
  <c r="N55" i="12" s="1"/>
  <c r="N14" i="11"/>
  <c r="K54" i="12"/>
  <c r="K55" i="12" s="1"/>
  <c r="K14" i="11"/>
  <c r="I54" i="12"/>
  <c r="I55" i="12" s="1"/>
  <c r="I56" i="12" s="1"/>
  <c r="I14" i="11"/>
  <c r="H14" i="11"/>
  <c r="H57" i="12" s="1"/>
  <c r="H54" i="12"/>
  <c r="H55" i="12" s="1"/>
  <c r="AF18" i="12"/>
  <c r="P42" i="12"/>
  <c r="AE18" i="12"/>
  <c r="O42" i="12"/>
  <c r="N42" i="12"/>
  <c r="AD18" i="12"/>
  <c r="AC18" i="12"/>
  <c r="M42" i="12"/>
  <c r="L42" i="12"/>
  <c r="AB18" i="12"/>
  <c r="AA18" i="12"/>
  <c r="Y18" i="12"/>
  <c r="I42" i="12"/>
  <c r="H42" i="12"/>
  <c r="X18" i="12"/>
  <c r="G42" i="12"/>
  <c r="W18" i="12"/>
  <c r="F42" i="12"/>
  <c r="V18" i="12"/>
  <c r="E42" i="12"/>
  <c r="U18" i="12"/>
  <c r="AF16" i="12"/>
  <c r="P40" i="12"/>
  <c r="AE16" i="12"/>
  <c r="O40" i="12"/>
  <c r="N40" i="12"/>
  <c r="AD16" i="12"/>
  <c r="AC16" i="12"/>
  <c r="M40" i="12"/>
  <c r="L40" i="12"/>
  <c r="AB16" i="12"/>
  <c r="Y16" i="12"/>
  <c r="I40" i="12"/>
  <c r="X16" i="12"/>
  <c r="H40" i="12"/>
  <c r="G40" i="12"/>
  <c r="W16" i="12"/>
  <c r="F40" i="12"/>
  <c r="V16" i="12"/>
  <c r="U16" i="12"/>
  <c r="E40" i="12"/>
  <c r="P10" i="12"/>
  <c r="AF8" i="12"/>
  <c r="P32" i="12"/>
  <c r="O10" i="12"/>
  <c r="O32" i="12"/>
  <c r="AE8" i="12"/>
  <c r="N10" i="12"/>
  <c r="AD8" i="12"/>
  <c r="N32" i="12"/>
  <c r="M10" i="12"/>
  <c r="AC8" i="12"/>
  <c r="M32" i="12"/>
  <c r="L32" i="12"/>
  <c r="AB8" i="12"/>
  <c r="L10" i="12"/>
  <c r="K10" i="12"/>
  <c r="AA8" i="12"/>
  <c r="I32" i="12"/>
  <c r="I10" i="12"/>
  <c r="Y8" i="12"/>
  <c r="H10" i="12"/>
  <c r="H32" i="12"/>
  <c r="G32" i="12"/>
  <c r="W8" i="12"/>
  <c r="G10" i="12"/>
  <c r="F10" i="12"/>
  <c r="F32" i="12"/>
  <c r="V8" i="12"/>
  <c r="U8" i="12"/>
  <c r="E32" i="12"/>
  <c r="E10" i="12"/>
  <c r="T8" i="12"/>
  <c r="D10" i="12"/>
  <c r="P57" i="12"/>
  <c r="O57" i="12"/>
  <c r="N57" i="12"/>
  <c r="I25" i="11"/>
  <c r="M57" i="12"/>
  <c r="L57" i="12"/>
  <c r="I57" i="12"/>
  <c r="G57" i="12"/>
  <c r="H25" i="11"/>
  <c r="D57" i="12"/>
  <c r="P9" i="11"/>
  <c r="I28" i="11" s="1"/>
  <c r="P18" i="11"/>
  <c r="O9" i="11"/>
  <c r="I27" i="11" s="1"/>
  <c r="O18" i="11"/>
  <c r="N9" i="11"/>
  <c r="I26" i="11" s="1"/>
  <c r="N18" i="11"/>
  <c r="M9" i="11"/>
  <c r="M18" i="11"/>
  <c r="L9" i="11"/>
  <c r="I24" i="11" s="1"/>
  <c r="L18" i="11"/>
  <c r="K9" i="11"/>
  <c r="K18" i="11"/>
  <c r="I7" i="11"/>
  <c r="H9" i="11"/>
  <c r="H18" i="11"/>
  <c r="G9" i="11"/>
  <c r="H26" i="11" s="1"/>
  <c r="G18" i="11"/>
  <c r="F9" i="11"/>
  <c r="F18" i="11"/>
  <c r="E9" i="11"/>
  <c r="E17" i="11" s="1"/>
  <c r="E18" i="11"/>
  <c r="D9" i="11"/>
  <c r="H23" i="11" s="1"/>
  <c r="D18" i="11"/>
  <c r="P55" i="9"/>
  <c r="O55" i="9"/>
  <c r="N55" i="9"/>
  <c r="M55" i="9"/>
  <c r="L64" i="9"/>
  <c r="L67" i="9"/>
  <c r="K64" i="9"/>
  <c r="K67" i="9"/>
  <c r="I55" i="9"/>
  <c r="H55" i="9"/>
  <c r="G55" i="9"/>
  <c r="F55" i="9"/>
  <c r="E64" i="9"/>
  <c r="E67" i="9"/>
  <c r="D64" i="9"/>
  <c r="AD34" i="9"/>
  <c r="AD45" i="9"/>
  <c r="AD48" i="9"/>
  <c r="AD60" i="9"/>
  <c r="AD8" i="9"/>
  <c r="AD19" i="9"/>
  <c r="AD22" i="9"/>
  <c r="AC36" i="9"/>
  <c r="AC37" i="9"/>
  <c r="AC38" i="9"/>
  <c r="AC40" i="9"/>
  <c r="AC46" i="9"/>
  <c r="AC47" i="9"/>
  <c r="AC48" i="9"/>
  <c r="AC50" i="9"/>
  <c r="AC57" i="9"/>
  <c r="AC58" i="9"/>
  <c r="AC59" i="9"/>
  <c r="AC61" i="9"/>
  <c r="AC9" i="9"/>
  <c r="AC10" i="9"/>
  <c r="AC11" i="9"/>
  <c r="AC13" i="9"/>
  <c r="AC19" i="9"/>
  <c r="AC20" i="9"/>
  <c r="AC21" i="9"/>
  <c r="AC23" i="9"/>
  <c r="AC27" i="9"/>
  <c r="AC28" i="9"/>
  <c r="AC29" i="9"/>
  <c r="AB33" i="9"/>
  <c r="AB34" i="9"/>
  <c r="AB35" i="9"/>
  <c r="AB36" i="9"/>
  <c r="AB37" i="9"/>
  <c r="AB38" i="9"/>
  <c r="AB39" i="9"/>
  <c r="AB40" i="9"/>
  <c r="AB41" i="9"/>
  <c r="AB42" i="9"/>
  <c r="AB45" i="9"/>
  <c r="AB46" i="9"/>
  <c r="AB47" i="9"/>
  <c r="AB48" i="9"/>
  <c r="AB49" i="9"/>
  <c r="AB50" i="9"/>
  <c r="AB51" i="9"/>
  <c r="AB52" i="9"/>
  <c r="AB53" i="9"/>
  <c r="AB57" i="9"/>
  <c r="AB58" i="9"/>
  <c r="AB59" i="9"/>
  <c r="AB60" i="9"/>
  <c r="AB61" i="9"/>
  <c r="AB62" i="9"/>
  <c r="AB7" i="9"/>
  <c r="AB8" i="9"/>
  <c r="AB9" i="9"/>
  <c r="AB10" i="9"/>
  <c r="AB11" i="9"/>
  <c r="AB12" i="9"/>
  <c r="AB13" i="9"/>
  <c r="AB14" i="9"/>
  <c r="AB15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A33" i="9"/>
  <c r="AA34" i="9"/>
  <c r="AA35" i="9"/>
  <c r="AA36" i="9"/>
  <c r="AA37" i="9"/>
  <c r="AA38" i="9"/>
  <c r="AA39" i="9"/>
  <c r="AA40" i="9"/>
  <c r="AA41" i="9"/>
  <c r="AA42" i="9"/>
  <c r="AA45" i="9"/>
  <c r="AA46" i="9"/>
  <c r="AA47" i="9"/>
  <c r="AA48" i="9"/>
  <c r="AA49" i="9"/>
  <c r="AA50" i="9"/>
  <c r="AA51" i="9"/>
  <c r="AA52" i="9"/>
  <c r="AA53" i="9"/>
  <c r="AA57" i="9"/>
  <c r="AA58" i="9"/>
  <c r="AA59" i="9"/>
  <c r="AA60" i="9"/>
  <c r="AA61" i="9"/>
  <c r="AA62" i="9"/>
  <c r="AA7" i="9"/>
  <c r="AA8" i="9"/>
  <c r="AA9" i="9"/>
  <c r="AA10" i="9"/>
  <c r="AA11" i="9"/>
  <c r="AA12" i="9"/>
  <c r="AA13" i="9"/>
  <c r="AA14" i="9"/>
  <c r="AA15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Z33" i="9"/>
  <c r="Z34" i="9"/>
  <c r="Z35" i="9"/>
  <c r="Z36" i="9"/>
  <c r="Z37" i="9"/>
  <c r="Z38" i="9"/>
  <c r="Z39" i="9"/>
  <c r="Z40" i="9"/>
  <c r="Z41" i="9"/>
  <c r="Z42" i="9"/>
  <c r="Z45" i="9"/>
  <c r="Z46" i="9"/>
  <c r="Z47" i="9"/>
  <c r="Z48" i="9"/>
  <c r="Z49" i="9"/>
  <c r="Z50" i="9"/>
  <c r="Z51" i="9"/>
  <c r="Z52" i="9"/>
  <c r="Z53" i="9"/>
  <c r="Z57" i="9"/>
  <c r="Z58" i="9"/>
  <c r="Z59" i="9"/>
  <c r="Z60" i="9"/>
  <c r="Z61" i="9"/>
  <c r="Z62" i="9"/>
  <c r="L66" i="9"/>
  <c r="Z7" i="9"/>
  <c r="Z8" i="9"/>
  <c r="Z9" i="9"/>
  <c r="Z10" i="9"/>
  <c r="Z11" i="9"/>
  <c r="Z12" i="9"/>
  <c r="Z13" i="9"/>
  <c r="Z14" i="9"/>
  <c r="Z15" i="9"/>
  <c r="Z18" i="9"/>
  <c r="Z19" i="9"/>
  <c r="Z20" i="9"/>
  <c r="Z21" i="9"/>
  <c r="Z22" i="9"/>
  <c r="Z23" i="9"/>
  <c r="Z24" i="9"/>
  <c r="Z25" i="9"/>
  <c r="Z26" i="9"/>
  <c r="Z27" i="9"/>
  <c r="Z28" i="9"/>
  <c r="Z29" i="9"/>
  <c r="Y33" i="9"/>
  <c r="Y34" i="9"/>
  <c r="Y35" i="9"/>
  <c r="Y36" i="9"/>
  <c r="Y37" i="9"/>
  <c r="Y38" i="9"/>
  <c r="Y39" i="9"/>
  <c r="Y40" i="9"/>
  <c r="Y41" i="9"/>
  <c r="Y42" i="9"/>
  <c r="Y45" i="9"/>
  <c r="Y46" i="9"/>
  <c r="Y47" i="9"/>
  <c r="Y48" i="9"/>
  <c r="Y49" i="9"/>
  <c r="Y50" i="9"/>
  <c r="Y51" i="9"/>
  <c r="Y52" i="9"/>
  <c r="Y53" i="9"/>
  <c r="Y57" i="9"/>
  <c r="Y58" i="9"/>
  <c r="Y59" i="9"/>
  <c r="Y60" i="9"/>
  <c r="Y61" i="9"/>
  <c r="Y62" i="9"/>
  <c r="K66" i="9"/>
  <c r="Y7" i="9"/>
  <c r="Y8" i="9"/>
  <c r="Y9" i="9"/>
  <c r="Y10" i="9"/>
  <c r="Y11" i="9"/>
  <c r="Y12" i="9"/>
  <c r="Y13" i="9"/>
  <c r="Y14" i="9"/>
  <c r="Y15" i="9"/>
  <c r="Y18" i="9"/>
  <c r="Y19" i="9"/>
  <c r="Y20" i="9"/>
  <c r="Y21" i="9"/>
  <c r="Y22" i="9"/>
  <c r="Y23" i="9"/>
  <c r="Y24" i="9"/>
  <c r="Y25" i="9"/>
  <c r="Y26" i="9"/>
  <c r="Y27" i="9"/>
  <c r="Y28" i="9"/>
  <c r="Y29" i="9"/>
  <c r="I31" i="9"/>
  <c r="V34" i="9"/>
  <c r="V42" i="9"/>
  <c r="V52" i="9"/>
  <c r="V7" i="9"/>
  <c r="V15" i="9"/>
  <c r="V25" i="9"/>
  <c r="U33" i="9"/>
  <c r="U37" i="9"/>
  <c r="U38" i="9"/>
  <c r="U39" i="9"/>
  <c r="U41" i="9"/>
  <c r="U47" i="9"/>
  <c r="U48" i="9"/>
  <c r="U49" i="9"/>
  <c r="U51" i="9"/>
  <c r="U58" i="9"/>
  <c r="U59" i="9"/>
  <c r="U60" i="9"/>
  <c r="U62" i="9"/>
  <c r="U10" i="9"/>
  <c r="U11" i="9"/>
  <c r="U12" i="9"/>
  <c r="U14" i="9"/>
  <c r="U20" i="9"/>
  <c r="U21" i="9"/>
  <c r="U22" i="9"/>
  <c r="U24" i="9"/>
  <c r="U25" i="9"/>
  <c r="U28" i="9"/>
  <c r="U29" i="9"/>
  <c r="T39" i="9"/>
  <c r="T60" i="9"/>
  <c r="T12" i="9"/>
  <c r="S33" i="9"/>
  <c r="S35" i="9"/>
  <c r="S39" i="9"/>
  <c r="S41" i="9"/>
  <c r="S45" i="9"/>
  <c r="S49" i="9"/>
  <c r="S51" i="9"/>
  <c r="S53" i="9"/>
  <c r="S60" i="9"/>
  <c r="S62" i="9"/>
  <c r="S8" i="9"/>
  <c r="S12" i="9"/>
  <c r="S14" i="9"/>
  <c r="S18" i="9"/>
  <c r="S22" i="9"/>
  <c r="S24" i="9"/>
  <c r="S26" i="9"/>
  <c r="R33" i="9"/>
  <c r="R34" i="9"/>
  <c r="R35" i="9"/>
  <c r="R36" i="9"/>
  <c r="R37" i="9"/>
  <c r="R38" i="9"/>
  <c r="R39" i="9"/>
  <c r="R40" i="9"/>
  <c r="R41" i="9"/>
  <c r="R42" i="9"/>
  <c r="R45" i="9"/>
  <c r="R46" i="9"/>
  <c r="R47" i="9"/>
  <c r="R48" i="9"/>
  <c r="R49" i="9"/>
  <c r="R50" i="9"/>
  <c r="R51" i="9"/>
  <c r="R52" i="9"/>
  <c r="R53" i="9"/>
  <c r="R57" i="9"/>
  <c r="R58" i="9"/>
  <c r="R59" i="9"/>
  <c r="R60" i="9"/>
  <c r="R61" i="9"/>
  <c r="R62" i="9"/>
  <c r="R7" i="9"/>
  <c r="R8" i="9"/>
  <c r="R9" i="9"/>
  <c r="R10" i="9"/>
  <c r="R11" i="9"/>
  <c r="R12" i="9"/>
  <c r="R13" i="9"/>
  <c r="R14" i="9"/>
  <c r="R15" i="9"/>
  <c r="R18" i="9"/>
  <c r="R19" i="9"/>
  <c r="R20" i="9"/>
  <c r="R21" i="9"/>
  <c r="R22" i="9"/>
  <c r="R24" i="9"/>
  <c r="R25" i="9"/>
  <c r="R26" i="9"/>
  <c r="R27" i="9"/>
  <c r="R28" i="9"/>
  <c r="R29" i="9"/>
  <c r="H27" i="11" l="1"/>
  <c r="P58" i="12"/>
  <c r="O58" i="12"/>
  <c r="H24" i="11"/>
  <c r="S23" i="9"/>
  <c r="S13" i="9"/>
  <c r="S61" i="9"/>
  <c r="S50" i="9"/>
  <c r="S40" i="9"/>
  <c r="V24" i="9"/>
  <c r="V14" i="9"/>
  <c r="V62" i="9"/>
  <c r="V51" i="9"/>
  <c r="V41" i="9"/>
  <c r="V33" i="9"/>
  <c r="AD21" i="9"/>
  <c r="AD7" i="9"/>
  <c r="AD46" i="9"/>
  <c r="V23" i="9"/>
  <c r="V50" i="9"/>
  <c r="V40" i="9"/>
  <c r="S29" i="9"/>
  <c r="S21" i="9"/>
  <c r="S11" i="9"/>
  <c r="S59" i="9"/>
  <c r="S48" i="9"/>
  <c r="S38" i="9"/>
  <c r="V22" i="9"/>
  <c r="V12" i="9"/>
  <c r="V60" i="9"/>
  <c r="V49" i="9"/>
  <c r="V39" i="9"/>
  <c r="AD18" i="9"/>
  <c r="AD59" i="9"/>
  <c r="AD42" i="9"/>
  <c r="E66" i="9"/>
  <c r="V13" i="9"/>
  <c r="S28" i="9"/>
  <c r="S20" i="9"/>
  <c r="S10" i="9"/>
  <c r="S58" i="9"/>
  <c r="S47" i="9"/>
  <c r="S37" i="9"/>
  <c r="V29" i="9"/>
  <c r="V21" i="9"/>
  <c r="V11" i="9"/>
  <c r="V59" i="9"/>
  <c r="V48" i="9"/>
  <c r="V38" i="9"/>
  <c r="AD29" i="9"/>
  <c r="AD15" i="9"/>
  <c r="AD57" i="9"/>
  <c r="AD39" i="9"/>
  <c r="V61" i="9"/>
  <c r="S27" i="9"/>
  <c r="S19" i="9"/>
  <c r="S9" i="9"/>
  <c r="S57" i="9"/>
  <c r="S46" i="9"/>
  <c r="S36" i="9"/>
  <c r="V28" i="9"/>
  <c r="V20" i="9"/>
  <c r="V10" i="9"/>
  <c r="V58" i="9"/>
  <c r="V47" i="9"/>
  <c r="V37" i="9"/>
  <c r="AD27" i="9"/>
  <c r="AD12" i="9"/>
  <c r="AD53" i="9"/>
  <c r="AD38" i="9"/>
  <c r="AD26" i="9"/>
  <c r="AD11" i="9"/>
  <c r="AD52" i="9"/>
  <c r="AD36" i="9"/>
  <c r="V27" i="9"/>
  <c r="V19" i="9"/>
  <c r="V9" i="9"/>
  <c r="V57" i="9"/>
  <c r="V46" i="9"/>
  <c r="V36" i="9"/>
  <c r="S25" i="9"/>
  <c r="S15" i="9"/>
  <c r="S7" i="9"/>
  <c r="S52" i="9"/>
  <c r="S42" i="9"/>
  <c r="V26" i="9"/>
  <c r="V18" i="9"/>
  <c r="V8" i="9"/>
  <c r="V53" i="9"/>
  <c r="V45" i="9"/>
  <c r="AD25" i="9"/>
  <c r="AD9" i="9"/>
  <c r="AD49" i="9"/>
  <c r="AD35" i="9"/>
  <c r="U27" i="9"/>
  <c r="U19" i="9"/>
  <c r="U9" i="9"/>
  <c r="U57" i="9"/>
  <c r="U46" i="9"/>
  <c r="U36" i="9"/>
  <c r="AC26" i="9"/>
  <c r="AC18" i="9"/>
  <c r="AC8" i="9"/>
  <c r="AC53" i="9"/>
  <c r="AC45" i="9"/>
  <c r="AC35" i="9"/>
  <c r="AD24" i="9"/>
  <c r="AD14" i="9"/>
  <c r="AD62" i="9"/>
  <c r="AD51" i="9"/>
  <c r="AD41" i="9"/>
  <c r="AD33" i="9"/>
  <c r="T22" i="9"/>
  <c r="U26" i="9"/>
  <c r="U18" i="9"/>
  <c r="U8" i="9"/>
  <c r="U53" i="9"/>
  <c r="U45" i="9"/>
  <c r="U35" i="9"/>
  <c r="AC25" i="9"/>
  <c r="AC15" i="9"/>
  <c r="AC7" i="9"/>
  <c r="AC52" i="9"/>
  <c r="AC42" i="9"/>
  <c r="AC34" i="9"/>
  <c r="AD23" i="9"/>
  <c r="AD13" i="9"/>
  <c r="AD61" i="9"/>
  <c r="AD50" i="9"/>
  <c r="AD40" i="9"/>
  <c r="D66" i="9"/>
  <c r="U15" i="9"/>
  <c r="U7" i="9"/>
  <c r="U52" i="9"/>
  <c r="U42" i="9"/>
  <c r="U34" i="9"/>
  <c r="AC24" i="9"/>
  <c r="AC14" i="9"/>
  <c r="AC62" i="9"/>
  <c r="AC51" i="9"/>
  <c r="AC41" i="9"/>
  <c r="AC33" i="9"/>
  <c r="T49" i="9"/>
  <c r="U23" i="9"/>
  <c r="U13" i="9"/>
  <c r="U61" i="9"/>
  <c r="U50" i="9"/>
  <c r="AC22" i="9"/>
  <c r="AC12" i="9"/>
  <c r="AC60" i="9"/>
  <c r="AC49" i="9"/>
  <c r="AD28" i="9"/>
  <c r="AD20" i="9"/>
  <c r="AD10" i="9"/>
  <c r="AD58" i="9"/>
  <c r="AD47" i="9"/>
  <c r="T29" i="9"/>
  <c r="T21" i="9"/>
  <c r="T11" i="9"/>
  <c r="T59" i="9"/>
  <c r="T48" i="9"/>
  <c r="T38" i="9"/>
  <c r="T28" i="9"/>
  <c r="T37" i="9"/>
  <c r="T20" i="9"/>
  <c r="T10" i="9"/>
  <c r="T58" i="9"/>
  <c r="T47" i="9"/>
  <c r="T27" i="9"/>
  <c r="T19" i="9"/>
  <c r="T9" i="9"/>
  <c r="T57" i="9"/>
  <c r="T46" i="9"/>
  <c r="T36" i="9"/>
  <c r="T26" i="9"/>
  <c r="T18" i="9"/>
  <c r="T8" i="9"/>
  <c r="T53" i="9"/>
  <c r="T45" i="9"/>
  <c r="T35" i="9"/>
  <c r="T25" i="9"/>
  <c r="T15" i="9"/>
  <c r="T7" i="9"/>
  <c r="T52" i="9"/>
  <c r="T42" i="9"/>
  <c r="T34" i="9"/>
  <c r="T24" i="9"/>
  <c r="T14" i="9"/>
  <c r="T62" i="9"/>
  <c r="T51" i="9"/>
  <c r="T41" i="9"/>
  <c r="T33" i="9"/>
  <c r="T23" i="9"/>
  <c r="T13" i="9"/>
  <c r="T61" i="9"/>
  <c r="T50" i="9"/>
  <c r="N58" i="12"/>
  <c r="N56" i="12"/>
  <c r="G56" i="12"/>
  <c r="G58" i="12"/>
  <c r="F56" i="12"/>
  <c r="F58" i="12"/>
  <c r="K56" i="12"/>
  <c r="M58" i="12"/>
  <c r="K57" i="12"/>
  <c r="I23" i="11"/>
  <c r="I31" i="11" s="1"/>
  <c r="I58" i="12"/>
  <c r="H56" i="12"/>
  <c r="H58" i="12"/>
  <c r="AF10" i="12"/>
  <c r="P25" i="12"/>
  <c r="P26" i="12"/>
  <c r="P34" i="12"/>
  <c r="O25" i="12"/>
  <c r="O26" i="12"/>
  <c r="O34" i="12"/>
  <c r="AE10" i="12"/>
  <c r="AD10" i="12"/>
  <c r="N25" i="12"/>
  <c r="N26" i="12"/>
  <c r="N34" i="12"/>
  <c r="M25" i="12"/>
  <c r="M26" i="12"/>
  <c r="M34" i="12"/>
  <c r="AC10" i="12"/>
  <c r="AB10" i="12"/>
  <c r="L25" i="12"/>
  <c r="L26" i="12"/>
  <c r="L34" i="12"/>
  <c r="AA10" i="12"/>
  <c r="K25" i="12"/>
  <c r="K26" i="12"/>
  <c r="Y10" i="12"/>
  <c r="I25" i="12"/>
  <c r="I26" i="12"/>
  <c r="I34" i="12"/>
  <c r="X10" i="12"/>
  <c r="H25" i="12"/>
  <c r="H26" i="12"/>
  <c r="H34" i="12"/>
  <c r="W10" i="12"/>
  <c r="G25" i="12"/>
  <c r="G26" i="12"/>
  <c r="G34" i="12"/>
  <c r="F25" i="12"/>
  <c r="F26" i="12"/>
  <c r="F34" i="12"/>
  <c r="V10" i="12"/>
  <c r="U10" i="12"/>
  <c r="E25" i="12"/>
  <c r="E26" i="12"/>
  <c r="E34" i="12"/>
  <c r="D25" i="12"/>
  <c r="D26" i="12"/>
  <c r="T10" i="12"/>
  <c r="I29" i="11"/>
  <c r="P15" i="11"/>
  <c r="P16" i="11" s="1"/>
  <c r="P17" i="11"/>
  <c r="O15" i="11"/>
  <c r="O16" i="11" s="1"/>
  <c r="O17" i="11"/>
  <c r="N15" i="11"/>
  <c r="N16" i="11" s="1"/>
  <c r="N17" i="11"/>
  <c r="M15" i="11"/>
  <c r="M16" i="11" s="1"/>
  <c r="M17" i="11"/>
  <c r="L15" i="11"/>
  <c r="L16" i="11" s="1"/>
  <c r="L17" i="11"/>
  <c r="K15" i="11"/>
  <c r="K16" i="11" s="1"/>
  <c r="I9" i="11"/>
  <c r="H28" i="11" s="1"/>
  <c r="H30" i="11" s="1"/>
  <c r="I18" i="11"/>
  <c r="H15" i="11"/>
  <c r="H16" i="11" s="1"/>
  <c r="H17" i="11"/>
  <c r="G15" i="11"/>
  <c r="G16" i="11" s="1"/>
  <c r="G17" i="11"/>
  <c r="F15" i="11"/>
  <c r="F16" i="11" s="1"/>
  <c r="F17" i="11"/>
  <c r="E15" i="11"/>
  <c r="E16" i="11" s="1"/>
  <c r="D15" i="11"/>
  <c r="D16" i="11" s="1"/>
  <c r="P64" i="9"/>
  <c r="P66" i="9" s="1"/>
  <c r="P67" i="9"/>
  <c r="O64" i="9"/>
  <c r="O66" i="9" s="1"/>
  <c r="O67" i="9"/>
  <c r="N64" i="9"/>
  <c r="N66" i="9" s="1"/>
  <c r="N67" i="9"/>
  <c r="M64" i="9"/>
  <c r="M66" i="9" s="1"/>
  <c r="M67" i="9"/>
  <c r="I64" i="9"/>
  <c r="I67" i="9"/>
  <c r="H64" i="9"/>
  <c r="H66" i="9" s="1"/>
  <c r="H67" i="9"/>
  <c r="G64" i="9"/>
  <c r="G66" i="9" s="1"/>
  <c r="G67" i="9"/>
  <c r="F64" i="9"/>
  <c r="F66" i="9" s="1"/>
  <c r="F67" i="9"/>
  <c r="W33" i="9"/>
  <c r="W34" i="9"/>
  <c r="W35" i="9"/>
  <c r="W36" i="9"/>
  <c r="W37" i="9"/>
  <c r="W38" i="9"/>
  <c r="W39" i="9"/>
  <c r="W40" i="9"/>
  <c r="W41" i="9"/>
  <c r="W42" i="9"/>
  <c r="W45" i="9"/>
  <c r="W46" i="9"/>
  <c r="W47" i="9"/>
  <c r="W48" i="9"/>
  <c r="W49" i="9"/>
  <c r="W50" i="9"/>
  <c r="W51" i="9"/>
  <c r="W52" i="9"/>
  <c r="W53" i="9"/>
  <c r="W57" i="9"/>
  <c r="W58" i="9"/>
  <c r="W59" i="9"/>
  <c r="W60" i="9"/>
  <c r="W61" i="9"/>
  <c r="W62" i="9"/>
  <c r="I66" i="9"/>
  <c r="W7" i="9"/>
  <c r="W8" i="9"/>
  <c r="W9" i="9"/>
  <c r="W10" i="9"/>
  <c r="W11" i="9"/>
  <c r="W12" i="9"/>
  <c r="W13" i="9"/>
  <c r="W14" i="9"/>
  <c r="W15" i="9"/>
  <c r="W18" i="9"/>
  <c r="W19" i="9"/>
  <c r="W20" i="9"/>
  <c r="W21" i="9"/>
  <c r="W22" i="9"/>
  <c r="W23" i="9"/>
  <c r="W24" i="9"/>
  <c r="W25" i="9"/>
  <c r="W26" i="9"/>
  <c r="W27" i="9"/>
  <c r="W28" i="9"/>
  <c r="W29" i="9"/>
  <c r="I30" i="11" l="1"/>
  <c r="H29" i="11"/>
  <c r="H31" i="11"/>
  <c r="E28" i="11"/>
  <c r="E27" i="11"/>
  <c r="E26" i="11"/>
  <c r="E25" i="11"/>
  <c r="E24" i="11"/>
  <c r="E23" i="11"/>
  <c r="I15" i="11"/>
  <c r="I17" i="11"/>
  <c r="D27" i="11"/>
  <c r="D26" i="11"/>
  <c r="D25" i="11"/>
  <c r="D24" i="11"/>
  <c r="D23" i="11"/>
  <c r="E29" i="11" l="1"/>
  <c r="E30" i="11"/>
  <c r="E31" i="11"/>
  <c r="I16" i="11"/>
  <c r="F27" i="11"/>
  <c r="G27" i="11"/>
  <c r="F26" i="11"/>
  <c r="G26" i="11"/>
  <c r="F25" i="11"/>
  <c r="G25" i="11"/>
  <c r="F24" i="11"/>
  <c r="G24" i="11"/>
  <c r="F23" i="11"/>
  <c r="G23" i="11"/>
  <c r="D28" i="11" l="1"/>
  <c r="D29" i="11" l="1"/>
  <c r="D31" i="11"/>
  <c r="D30" i="11"/>
  <c r="F28" i="11"/>
  <c r="G28" i="11"/>
  <c r="F31" i="11" l="1"/>
  <c r="F30" i="11"/>
  <c r="F29" i="11"/>
  <c r="G31" i="11"/>
  <c r="G30" i="11"/>
  <c r="G29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100-000001000000}">
      <text>
        <r>
          <rPr>
            <sz val="10"/>
            <rFont val="Noto Sans CJK SC"/>
            <family val="2"/>
          </rPr>
          <t xml:space="preserve">비교기업 선정 기준 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동일 산업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유사 규모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동일 시장 상장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 xml:space="preserve">은 </t>
        </r>
        <r>
          <rPr>
            <sz val="10"/>
            <rFont val="Arial"/>
            <family val="2"/>
          </rPr>
          <t>3</t>
        </r>
        <r>
          <rPr>
            <sz val="10"/>
            <rFont val="Noto Sans CJK SC"/>
            <family val="2"/>
          </rPr>
          <t>장 횡단면분석의 전제</t>
        </r>
        <r>
          <rPr>
            <sz val="10"/>
            <rFont val="Arial"/>
            <family val="2"/>
          </rPr>
          <t xml:space="preserve">[Ch03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18], 5</t>
        </r>
        <r>
          <rPr>
            <sz val="10"/>
            <rFont val="Noto Sans CJK SC"/>
            <family val="2"/>
          </rPr>
          <t>장 산업평균 비교의 함정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 xml:space="preserve">규모가 </t>
        </r>
        <r>
          <rPr>
            <sz val="10"/>
            <rFont val="Arial"/>
            <family val="2"/>
          </rPr>
          <t>5</t>
        </r>
        <r>
          <rPr>
            <sz val="10"/>
            <rFont val="Noto Sans CJK SC"/>
            <family val="2"/>
          </rPr>
          <t>배 다른 공상은행</t>
        </r>
        <r>
          <rPr>
            <sz val="10"/>
            <rFont val="Arial"/>
            <family val="2"/>
          </rPr>
          <t xml:space="preserve">)[Ch05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15], 11</t>
        </r>
        <r>
          <rPr>
            <sz val="10"/>
            <rFont val="Noto Sans CJK SC"/>
            <family val="2"/>
          </rPr>
          <t>장 상대가치의 비교기업 선정 기준</t>
        </r>
        <r>
          <rPr>
            <sz val="10"/>
            <rFont val="Arial"/>
            <family val="2"/>
          </rPr>
          <t xml:space="preserve">[Ch11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15 </t>
        </r>
        <r>
          <rPr>
            <sz val="10"/>
            <rFont val="Noto Sans CJK SC"/>
            <family val="2"/>
          </rPr>
          <t>노트</t>
        </r>
        <r>
          <rPr>
            <sz val="10"/>
            <rFont val="Arial"/>
            <family val="2"/>
          </rPr>
          <t>]</t>
        </r>
        <r>
          <rPr>
            <sz val="10"/>
            <rFont val="Noto Sans CJK SC"/>
            <family val="2"/>
          </rPr>
          <t>에서 계속 회수됩니다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매 장마다 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이 비교기업이 지금도 적절한가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를 다시 묻습니다</t>
        </r>
        <r>
          <rPr>
            <sz val="10"/>
            <rFont val="Arial"/>
            <family val="2"/>
          </rPr>
          <t>.</t>
        </r>
      </text>
    </comment>
    <comment ref="D12" authorId="0" shapeId="0" xr:uid="{00000000-0006-0000-0100-000003000000}">
      <text>
        <r>
          <rPr>
            <sz val="10"/>
            <rFont val="Noto Sans CJK SC"/>
            <family val="2"/>
          </rPr>
          <t xml:space="preserve">시가총액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발행주식수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Noto Sans CJK SC"/>
            <family val="2"/>
          </rPr>
          <t>기준일 종가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사업보고서에는 종가가 없으므로 </t>
        </r>
        <r>
          <rPr>
            <sz val="10"/>
            <rFont val="Arial"/>
            <family val="2"/>
          </rPr>
          <t>KRX·DataGuide</t>
        </r>
        <r>
          <rPr>
            <sz val="10"/>
            <rFont val="Noto Sans CJK SC"/>
            <family val="2"/>
          </rPr>
          <t>에서 조회해 채우세요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자기주식을 포함한 발행주식수 기준인지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유통주식수 기준인지 두 기업의 기준을 통일하세요</t>
        </r>
        <r>
          <rPr>
            <sz val="10"/>
            <rFont val="Arial"/>
            <family val="2"/>
          </rPr>
          <t>.</t>
        </r>
      </text>
    </comment>
    <comment ref="D15" authorId="0" shapeId="0" xr:uid="{00000000-0006-0000-0100-000004000000}">
      <text>
        <r>
          <rPr>
            <sz val="10"/>
            <rFont val="Noto Sans CJK SC"/>
            <family val="2"/>
          </rPr>
          <t>최대주주 지분율은 「</t>
        </r>
        <r>
          <rPr>
            <sz val="10"/>
            <rFont val="Arial"/>
            <family val="2"/>
          </rPr>
          <t xml:space="preserve">VII. </t>
        </r>
        <r>
          <rPr>
            <sz val="10"/>
            <rFont val="Noto Sans CJK SC"/>
            <family val="2"/>
          </rPr>
          <t>주주에 관한 사항 → 최대주주 및 그 특수관계인의 주식소유 현황」에서 확인합니다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메디톡스는 창업자 정현호 개인이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휴젤은 사모펀드 컨소시엄이 세운 법인</t>
        </r>
        <r>
          <rPr>
            <sz val="10"/>
            <rFont val="Arial"/>
            <family val="2"/>
          </rPr>
          <t>(Aphrodite Acquisition Holdings LLC)</t>
        </r>
        <r>
          <rPr>
            <sz val="10"/>
            <rFont val="Noto Sans CJK SC"/>
            <family val="2"/>
          </rPr>
          <t>이 최대주주라는 점이 지배구조 비교의 출발점입니다</t>
        </r>
        <r>
          <rPr>
            <sz val="10"/>
            <rFont val="Arial"/>
            <family val="2"/>
          </rPr>
          <t>.</t>
        </r>
      </text>
    </comment>
    <comment ref="C33" authorId="0" shapeId="0" xr:uid="{00000000-0006-0000-0100-000002000000}">
      <text>
        <r>
          <rPr>
            <sz val="10"/>
            <rFont val="Noto Sans CJK SC"/>
            <family val="2"/>
          </rPr>
          <t>동일 산업 여부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사업 유사성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규모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매출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자산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시총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Noto Sans CJK SC"/>
            <family val="2"/>
          </rPr>
          <t>비교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동일 시장 상장 여부를 근거로 쓰세요</t>
        </r>
        <r>
          <rPr>
            <sz val="10"/>
            <rFont val="Arial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300-000001000000}">
      <text>
        <r>
          <rPr>
            <sz val="10"/>
            <rFont val="Noto Sans CJK SC"/>
            <family val="2"/>
          </rPr>
          <t xml:space="preserve">이 시트의 월별 수익률은 </t>
        </r>
        <r>
          <rPr>
            <sz val="10"/>
            <rFont val="Arial"/>
            <family val="2"/>
          </rPr>
          <t>7</t>
        </r>
        <r>
          <rPr>
            <sz val="10"/>
            <rFont val="Noto Sans CJK SC"/>
            <family val="2"/>
          </rPr>
          <t>장 베타 추정의 재료입니다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초과수익률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수익률 − 무위험이자율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 xml:space="preserve">을 </t>
        </r>
        <r>
          <rPr>
            <sz val="10"/>
            <rFont val="Arial"/>
            <family val="2"/>
          </rPr>
          <t xml:space="preserve">KOSPI </t>
        </r>
        <r>
          <rPr>
            <sz val="10"/>
            <rFont val="Noto Sans CJK SC"/>
            <family val="2"/>
          </rPr>
          <t xml:space="preserve">초과수익률에 회귀시킨 기울기가 </t>
        </r>
        <r>
          <rPr>
            <sz val="10"/>
            <rFont val="Arial"/>
            <family val="2"/>
          </rPr>
          <t xml:space="preserve">β[Ch07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10]. 60</t>
        </r>
        <r>
          <rPr>
            <sz val="10"/>
            <rFont val="Noto Sans CJK SC"/>
            <family val="2"/>
          </rPr>
          <t>개월 월별</t>
        </r>
        <r>
          <rPr>
            <sz val="10"/>
            <rFont val="Arial"/>
            <family val="2"/>
          </rPr>
          <t xml:space="preserve">·KOSPI </t>
        </r>
        <r>
          <rPr>
            <sz val="10"/>
            <rFont val="Noto Sans CJK SC"/>
            <family val="2"/>
          </rPr>
          <t xml:space="preserve">기준으로 통일하고 </t>
        </r>
        <r>
          <rPr>
            <sz val="10"/>
            <rFont val="Arial"/>
            <family val="2"/>
          </rPr>
          <t>R²</t>
        </r>
        <r>
          <rPr>
            <sz val="10"/>
            <rFont val="Noto Sans CJK SC"/>
            <family val="2"/>
          </rPr>
          <t>를 확인하며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실무는 조정베타</t>
        </r>
        <r>
          <rPr>
            <sz val="10"/>
            <rFont val="Arial"/>
            <family val="2"/>
          </rPr>
          <t>(0.67×β + 0.33)</t>
        </r>
        <r>
          <rPr>
            <sz val="10"/>
            <rFont val="Noto Sans CJK SC"/>
            <family val="2"/>
          </rPr>
          <t>도 씁니다</t>
        </r>
        <r>
          <rPr>
            <sz val="10"/>
            <rFont val="Arial"/>
            <family val="2"/>
          </rPr>
          <t xml:space="preserve">[Ch07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10 </t>
        </r>
        <r>
          <rPr>
            <sz val="10"/>
            <rFont val="Noto Sans CJK SC"/>
            <family val="2"/>
          </rPr>
          <t>노트</t>
        </r>
        <r>
          <rPr>
            <sz val="10"/>
            <rFont val="Arial"/>
            <family val="2"/>
          </rPr>
          <t xml:space="preserve">]. β → CAPM </t>
        </r>
        <r>
          <rPr>
            <sz val="10"/>
            <rFont val="Noto Sans CJK SC"/>
            <family val="2"/>
          </rPr>
          <t>자기자본비용</t>
        </r>
        <r>
          <rPr>
            <sz val="10"/>
            <rFont val="Arial"/>
            <family val="2"/>
          </rPr>
          <t xml:space="preserve">[Ch07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9] → 11</t>
        </r>
        <r>
          <rPr>
            <sz val="10"/>
            <rFont val="Noto Sans CJK SC"/>
            <family val="2"/>
          </rPr>
          <t xml:space="preserve">장 </t>
        </r>
        <r>
          <rPr>
            <sz val="10"/>
            <rFont val="Arial"/>
            <family val="2"/>
          </rPr>
          <t>RIM·DDM</t>
        </r>
        <r>
          <rPr>
            <sz val="10"/>
            <rFont val="Noto Sans CJK SC"/>
            <family val="2"/>
          </rPr>
          <t>의 할인율</t>
        </r>
        <r>
          <rPr>
            <sz val="10"/>
            <rFont val="Arial"/>
            <family val="2"/>
          </rPr>
          <t xml:space="preserve">[Ch11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5].</t>
        </r>
      </text>
    </comment>
    <comment ref="G6" authorId="0" shapeId="0" xr:uid="{00000000-0006-0000-0300-000003000000}">
      <text>
        <r>
          <rPr>
            <sz val="10"/>
            <rFont val="Noto Sans CJK SC"/>
            <family val="2"/>
          </rPr>
          <t xml:space="preserve">월간수익률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당월 종가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 xml:space="preserve">전월 종가 − </t>
        </r>
        <r>
          <rPr>
            <sz val="10"/>
            <rFont val="Arial"/>
            <family val="2"/>
          </rPr>
          <t xml:space="preserve">1. </t>
        </r>
        <r>
          <rPr>
            <sz val="10"/>
            <rFont val="Noto Sans CJK SC"/>
            <family val="2"/>
          </rPr>
          <t>배당을 빼고 계산한 가격수익률입니다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배당 포함 총수익률이 아님</t>
        </r>
        <r>
          <rPr>
            <sz val="10"/>
            <rFont val="Arial"/>
            <family val="2"/>
          </rPr>
          <t>). 7</t>
        </r>
        <r>
          <rPr>
            <sz val="10"/>
            <rFont val="Noto Sans CJK SC"/>
            <family val="2"/>
          </rPr>
          <t xml:space="preserve">장에서 </t>
        </r>
        <r>
          <rPr>
            <sz val="10"/>
            <rFont val="Arial"/>
            <family val="2"/>
          </rPr>
          <t>β</t>
        </r>
        <r>
          <rPr>
            <sz val="10"/>
            <rFont val="Noto Sans CJK SC"/>
            <family val="2"/>
          </rPr>
          <t xml:space="preserve">를 구할 때 쓰는 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수익률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의 정의이며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주가 수준이 아니라 수익률로 바꿔야 대상기업과 지수</t>
        </r>
        <r>
          <rPr>
            <sz val="10"/>
            <rFont val="Arial"/>
            <family val="2"/>
          </rPr>
          <t>(KOSPI)</t>
        </r>
        <r>
          <rPr>
            <sz val="10"/>
            <rFont val="Noto Sans CJK SC"/>
            <family val="2"/>
          </rPr>
          <t xml:space="preserve">의 움직임을 같은 단위로 비교할 수 있습니다 </t>
        </r>
        <r>
          <rPr>
            <sz val="10"/>
            <rFont val="Arial"/>
            <family val="2"/>
          </rPr>
          <t>[Ch07].</t>
        </r>
      </text>
    </comment>
    <comment ref="C13" authorId="0" shapeId="0" xr:uid="{00000000-0006-0000-0300-000002000000}">
      <text>
        <r>
          <rPr>
            <sz val="10"/>
            <rFont val="Noto Sans CJK SC"/>
            <family val="2"/>
          </rPr>
          <t xml:space="preserve">월말 종가와 </t>
        </r>
        <r>
          <rPr>
            <sz val="10"/>
            <rFont val="Arial"/>
            <family val="2"/>
          </rPr>
          <t>KOSPI(</t>
        </r>
        <r>
          <rPr>
            <sz val="10"/>
            <rFont val="Noto Sans CJK SC"/>
            <family val="2"/>
          </rPr>
          <t xml:space="preserve">또는 </t>
        </r>
        <r>
          <rPr>
            <sz val="10"/>
            <rFont val="Arial"/>
            <family val="2"/>
          </rPr>
          <t xml:space="preserve">KOSDAQ) </t>
        </r>
        <r>
          <rPr>
            <sz val="10"/>
            <rFont val="Noto Sans CJK SC"/>
            <family val="2"/>
          </rPr>
          <t>지수를 직접 입력하세요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두 기업 모두 코스닥 상장이므로 시장지수를 </t>
        </r>
        <r>
          <rPr>
            <sz val="10"/>
            <rFont val="Arial"/>
            <family val="2"/>
          </rPr>
          <t>KOSDAQ</t>
        </r>
        <r>
          <rPr>
            <sz val="10"/>
            <rFont val="Noto Sans CJK SC"/>
            <family val="2"/>
          </rPr>
          <t>으로 바꿀지 먼저 정하고</t>
        </r>
        <r>
          <rPr>
            <sz val="10"/>
            <rFont val="Arial"/>
            <family val="2"/>
          </rPr>
          <t xml:space="preserve">, 1-3·7-2 </t>
        </r>
        <r>
          <rPr>
            <sz val="10"/>
            <rFont val="Noto Sans CJK SC"/>
            <family val="2"/>
          </rPr>
          <t>시트에서 같은 지수를 쓰세요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무상증자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주식배당이 있었던 해는 수정주가를 사용해야 합니다</t>
        </r>
        <r>
          <rPr>
            <sz val="10"/>
            <rFont val="Arial"/>
            <family val="2"/>
          </rPr>
          <t>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400-000001000000}">
      <text>
        <r>
          <rPr>
            <sz val="10"/>
            <rFont val="Noto Sans CJK SC"/>
            <family val="2"/>
          </rPr>
          <t xml:space="preserve">두 보고서의 차이는 </t>
        </r>
        <r>
          <rPr>
            <sz val="10"/>
            <rFont val="Arial"/>
            <family val="2"/>
          </rPr>
          <t>7</t>
        </r>
        <r>
          <rPr>
            <sz val="10"/>
            <rFont val="Noto Sans CJK SC"/>
            <family val="2"/>
          </rPr>
          <t xml:space="preserve">장 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재무제표로 보는 위험 — 관점이 다르다</t>
        </r>
        <r>
          <rPr>
            <sz val="10"/>
            <rFont val="Arial"/>
            <family val="2"/>
          </rPr>
          <t xml:space="preserve">"[Ch07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13]</t>
        </r>
        <r>
          <rPr>
            <sz val="10"/>
            <rFont val="Noto Sans CJK SC"/>
            <family val="2"/>
          </rPr>
          <t>로 정리됩니다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자본시장 관점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주가 변동성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주주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과 회계 관점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파산 가능성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채권자</t>
        </r>
        <r>
          <rPr>
            <sz val="10"/>
            <rFont val="Arial"/>
            <family val="2"/>
          </rPr>
          <t>). 11</t>
        </r>
        <r>
          <rPr>
            <sz val="10"/>
            <rFont val="Noto Sans CJK SC"/>
            <family val="2"/>
          </rPr>
          <t>장 가치평가 결과를 투자의견으로 바꾸는 방식</t>
        </r>
        <r>
          <rPr>
            <sz val="10"/>
            <rFont val="Arial"/>
            <family val="2"/>
          </rPr>
          <t xml:space="preserve">[Ch11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16]</t>
        </r>
        <r>
          <rPr>
            <sz val="10"/>
            <rFont val="Noto Sans CJK SC"/>
            <family val="2"/>
          </rPr>
          <t>과 신용등급 논리를 대조하세요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보고서의 </t>
        </r>
        <r>
          <rPr>
            <sz val="10"/>
            <rFont val="Arial"/>
            <family val="2"/>
          </rPr>
          <t>P/B·ROE</t>
        </r>
        <r>
          <rPr>
            <sz val="10"/>
            <rFont val="Noto Sans CJK SC"/>
            <family val="2"/>
          </rPr>
          <t xml:space="preserve">가 후행인지 </t>
        </r>
        <r>
          <rPr>
            <sz val="10"/>
            <rFont val="Arial"/>
            <family val="2"/>
          </rPr>
          <t>12MF</t>
        </r>
        <r>
          <rPr>
            <sz val="10"/>
            <rFont val="Noto Sans CJK SC"/>
            <family val="2"/>
          </rPr>
          <t>인지 확인</t>
        </r>
        <r>
          <rPr>
            <sz val="10"/>
            <rFont val="Arial"/>
            <family val="2"/>
          </rPr>
          <t xml:space="preserve">[Ch03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19 </t>
        </r>
        <r>
          <rPr>
            <sz val="10"/>
            <rFont val="Noto Sans CJK SC"/>
            <family val="2"/>
          </rPr>
          <t>노트</t>
        </r>
        <r>
          <rPr>
            <sz val="10"/>
            <rFont val="Arial"/>
            <family val="2"/>
          </rPr>
          <t>].</t>
        </r>
      </text>
    </comment>
    <comment ref="C4" authorId="0" shapeId="0" xr:uid="{00000000-0006-0000-0400-000002000000}">
      <text>
        <r>
          <rPr>
            <sz val="10"/>
            <rFont val="Noto Sans CJK SC"/>
            <family val="2"/>
          </rPr>
          <t xml:space="preserve">증권사 애널리스트 보고서와 신용평가 보고서를 각각 </t>
        </r>
        <r>
          <rPr>
            <sz val="10"/>
            <rFont val="Arial"/>
            <family val="2"/>
          </rPr>
          <t>1</t>
        </r>
        <r>
          <rPr>
            <sz val="10"/>
            <rFont val="Noto Sans CJK SC"/>
            <family val="2"/>
          </rPr>
          <t>건씩 골라 비교하세요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발행일이 가까운 두 보고서를 고르면 같은 정보 집합을 놓고 무엇을 달리 보는지 대조하기 좋습니다</t>
        </r>
        <r>
          <rPr>
            <sz val="10"/>
            <rFont val="Arial"/>
            <family val="2"/>
          </rPr>
          <t>.</t>
        </r>
      </text>
    </comment>
    <comment ref="C16" authorId="0" shapeId="0" xr:uid="{00000000-0006-0000-0400-000003000000}">
      <text>
        <r>
          <rPr>
            <sz val="10"/>
            <rFont val="Noto Sans CJK SC"/>
            <family val="2"/>
          </rPr>
          <t>힌트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채권투자자는 원리금 상환 여부에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주식투자자는 성장에 따른 상승 여지에 관심이 있습니다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또한 애널리스트가 갖는 이해상충 문제</t>
        </r>
        <r>
          <rPr>
            <sz val="10"/>
            <rFont val="Arial"/>
            <family val="2"/>
          </rPr>
          <t>(e.g.</t>
        </r>
        <r>
          <rPr>
            <sz val="10"/>
            <rFont val="Noto Sans CJK SC"/>
            <family val="2"/>
          </rPr>
          <t>주관사 애널리스트의 경우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Noto Sans CJK SC"/>
            <family val="2"/>
          </rPr>
          <t>등도 함께 고려해 보세요</t>
        </r>
        <r>
          <rPr>
            <sz val="10"/>
            <rFont val="Arial"/>
            <family val="2"/>
          </rPr>
          <t>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800-000001000000}">
      <text>
        <r>
          <rPr>
            <sz val="10"/>
            <rFont val="Noto Sans CJK SC"/>
            <family val="2"/>
          </rPr>
          <t xml:space="preserve">왜 이 시트인가 — 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재무상태표를 보고 가치를 평가하는 것은 기업가치평가의 출발점</t>
        </r>
        <r>
          <rPr>
            <sz val="10"/>
            <rFont val="Arial"/>
            <family val="2"/>
          </rPr>
          <t xml:space="preserve">"[Ch02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7]. </t>
        </r>
        <r>
          <rPr>
            <sz val="10"/>
            <rFont val="Noto Sans CJK SC"/>
            <family val="2"/>
          </rPr>
          <t xml:space="preserve">이 표는 </t>
        </r>
        <r>
          <rPr>
            <sz val="10"/>
            <rFont val="Arial"/>
            <family val="2"/>
          </rPr>
          <t>6</t>
        </r>
        <r>
          <rPr>
            <sz val="10"/>
            <rFont val="Noto Sans CJK SC"/>
            <family val="2"/>
          </rPr>
          <t xml:space="preserve">장 </t>
        </r>
        <r>
          <rPr>
            <sz val="10"/>
            <rFont val="Arial"/>
            <family val="2"/>
          </rPr>
          <t xml:space="preserve">ROE </t>
        </r>
        <r>
          <rPr>
            <sz val="10"/>
            <rFont val="Noto Sans CJK SC"/>
            <family val="2"/>
          </rPr>
          <t>분해의 분모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평균총자산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평균자기자본</t>
        </r>
        <r>
          <rPr>
            <sz val="10"/>
            <rFont val="Arial"/>
            <family val="2"/>
          </rPr>
          <t xml:space="preserve">)[Ch06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12], 7</t>
        </r>
        <r>
          <rPr>
            <sz val="10"/>
            <rFont val="Noto Sans CJK SC"/>
            <family val="2"/>
          </rPr>
          <t>장 유동비율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부채비율</t>
        </r>
        <r>
          <rPr>
            <sz val="10"/>
            <rFont val="Arial"/>
            <family val="2"/>
          </rPr>
          <t xml:space="preserve">[Ch07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14], 10</t>
        </r>
        <r>
          <rPr>
            <sz val="10"/>
            <rFont val="Noto Sans CJK SC"/>
            <family val="2"/>
          </rPr>
          <t>장 추정 재무상태표의 항목 비중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회전율</t>
        </r>
        <r>
          <rPr>
            <sz val="10"/>
            <rFont val="Arial"/>
            <family val="2"/>
          </rPr>
          <t xml:space="preserve">[Ch10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12~13], 11</t>
        </r>
        <r>
          <rPr>
            <sz val="10"/>
            <rFont val="Noto Sans CJK SC"/>
            <family val="2"/>
          </rPr>
          <t xml:space="preserve">장 초과이익모형의 출발점 </t>
        </r>
        <r>
          <rPr>
            <sz val="10"/>
            <rFont val="Arial"/>
            <family val="2"/>
          </rPr>
          <t xml:space="preserve">Equity₀[Ch11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12]</t>
        </r>
        <r>
          <rPr>
            <sz val="10"/>
            <rFont val="Noto Sans CJK SC"/>
            <family val="2"/>
          </rPr>
          <t>로 다시 쓰입니다</t>
        </r>
        <r>
          <rPr>
            <sz val="10"/>
            <rFont val="Arial"/>
            <family val="2"/>
          </rPr>
          <t>.</t>
        </r>
      </text>
    </comment>
    <comment ref="AF4" authorId="0" shapeId="0" xr:uid="{00000000-0006-0000-0800-00000B000000}">
      <text>
        <r>
          <rPr>
            <sz val="10"/>
            <rFont val="Noto Sans CJK SC"/>
            <family val="2"/>
          </rPr>
          <t>감사에서 수행하는 분석적 절차</t>
        </r>
        <r>
          <rPr>
            <sz val="10"/>
            <rFont val="Arial"/>
            <family val="2"/>
          </rPr>
          <t>(analytical procedures)</t>
        </r>
        <r>
          <rPr>
            <sz val="10"/>
            <rFont val="Noto Sans CJK SC"/>
            <family val="2"/>
          </rPr>
          <t>와 같은 취지의 시계열 분석입니다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Noto Sans CJK SC"/>
            <family val="2"/>
          </rPr>
          <t>전기 대비 증감율을 계산해 급격히 변동한 계정을 먼저 찾고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그 계정에 대해 사업보고서 주석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언론 보도로 설명을 찾는 순서로 진행하세요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Noto Sans CJK SC"/>
            <family val="2"/>
          </rPr>
          <t>비교기업 블록을 나란히 둔 이유는 횡단면 비교를 위해서입니다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두 기업이 같은 방향으로 움직였다면 산업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시장 전반의 변화이고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대상기업만 움직였다면 그 기업 고유의 사정입니다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어느 쪽인지 구분해야 원인을 제대로 짚을 수 있습니다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Noto Sans CJK SC"/>
            <family val="2"/>
          </rPr>
          <t>전기 값이 음수인 계정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기타자본항목 등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은 증감율의 부호가 직관과 반대로 나옵니다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전기 값이 </t>
        </r>
        <r>
          <rPr>
            <sz val="10"/>
            <rFont val="Arial"/>
            <family val="2"/>
          </rPr>
          <t>0</t>
        </r>
        <r>
          <rPr>
            <sz val="10"/>
            <rFont val="Noto Sans CJK SC"/>
            <family val="2"/>
          </rPr>
          <t>이거나 비어 있으면 계산하지 않고 공란으로 둡니다</t>
        </r>
        <r>
          <rPr>
            <sz val="10"/>
            <rFont val="Arial"/>
            <family val="2"/>
          </rPr>
          <t>.</t>
        </r>
      </text>
    </comment>
    <comment ref="R6" authorId="0" shapeId="0" xr:uid="{00000000-0006-0000-0800-00000A000000}">
      <text>
        <r>
          <rPr>
            <sz val="10"/>
            <rFont val="Noto Sans CJK SC"/>
            <family val="2"/>
          </rPr>
          <t>공통형</t>
        </r>
        <r>
          <rPr>
            <sz val="10"/>
            <rFont val="Arial"/>
            <family val="2"/>
          </rPr>
          <t xml:space="preserve">(common-size) </t>
        </r>
        <r>
          <rPr>
            <sz val="10"/>
            <rFont val="Noto Sans CJK SC"/>
            <family val="2"/>
          </rPr>
          <t xml:space="preserve">재무상태표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각 계정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>자산총계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규모가 다른 두 기업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 xml:space="preserve">메디톡스 </t>
        </r>
        <r>
          <rPr>
            <sz val="10"/>
            <rFont val="Arial"/>
            <family val="2"/>
          </rPr>
          <t xml:space="preserve">vs </t>
        </r>
        <r>
          <rPr>
            <sz val="10"/>
            <rFont val="Noto Sans CJK SC"/>
            <family val="2"/>
          </rPr>
          <t>휴젤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을 같은 잣대로 비교하고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연도별 자산 구성의 변화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개발비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투자부동산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공정가치금융자산 비중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 xml:space="preserve">를 읽습니다 </t>
        </r>
        <r>
          <rPr>
            <sz val="10"/>
            <rFont val="Arial"/>
            <family val="2"/>
          </rPr>
          <t>[Ch02].</t>
        </r>
      </text>
    </comment>
    <comment ref="C16" authorId="0" shapeId="0" xr:uid="{00000000-0006-0000-0800-000002000000}">
      <text>
        <r>
          <rPr>
            <sz val="10"/>
            <rFont val="Noto Sans CJK SC"/>
            <family val="2"/>
          </rPr>
          <t xml:space="preserve">유동자산 계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>개별 항목의 합</t>
        </r>
        <r>
          <rPr>
            <sz val="10"/>
            <rFont val="Arial"/>
            <family val="2"/>
          </rPr>
          <t xml:space="preserve">(SUM). </t>
        </r>
        <r>
          <rPr>
            <sz val="10"/>
            <rFont val="Noto Sans CJK SC"/>
            <family val="2"/>
          </rPr>
          <t xml:space="preserve">사업보고서의 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유동자산</t>
        </r>
        <r>
          <rPr>
            <sz val="10"/>
            <rFont val="Arial"/>
            <family val="2"/>
          </rPr>
          <t xml:space="preserve">" </t>
        </r>
        <r>
          <rPr>
            <sz val="10"/>
            <rFont val="Noto Sans CJK SC"/>
            <family val="2"/>
          </rPr>
          <t>합계와 검증</t>
        </r>
        <r>
          <rPr>
            <sz val="10"/>
            <rFont val="Arial"/>
            <family val="2"/>
          </rPr>
          <t>(43</t>
        </r>
        <r>
          <rPr>
            <sz val="10"/>
            <rFont val="Noto Sans CJK SC"/>
            <family val="2"/>
          </rPr>
          <t>행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이 맞아야 계정 누락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중복이 없다는 뜻입니다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항목 수를 줄여 재분류했으므로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현금</t>
        </r>
        <r>
          <rPr>
            <sz val="10"/>
            <rFont val="Arial"/>
            <family val="2"/>
          </rPr>
          <t>+</t>
        </r>
        <r>
          <rPr>
            <sz val="10"/>
            <rFont val="Noto Sans CJK SC"/>
            <family val="2"/>
          </rPr>
          <t>단기금융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기타유동 등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Noto Sans CJK SC"/>
            <family val="2"/>
          </rPr>
          <t xml:space="preserve">합계 검증이 곧 재분류의 검증입니다 </t>
        </r>
        <r>
          <rPr>
            <sz val="10"/>
            <rFont val="Arial"/>
            <family val="2"/>
          </rPr>
          <t>[Ch02].</t>
        </r>
      </text>
    </comment>
    <comment ref="C31" authorId="0" shapeId="0" xr:uid="{00000000-0006-0000-0800-000003000000}">
      <text>
        <r>
          <rPr>
            <sz val="10"/>
            <rFont val="Noto Sans CJK SC"/>
            <family val="2"/>
          </rPr>
          <t xml:space="preserve">자산총계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유동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Noto Sans CJK SC"/>
            <family val="2"/>
          </rPr>
          <t>비유동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이 숫자가 </t>
        </r>
        <r>
          <rPr>
            <sz val="10"/>
            <rFont val="Arial"/>
            <family val="2"/>
          </rPr>
          <t>6</t>
        </r>
        <r>
          <rPr>
            <sz val="10"/>
            <rFont val="Noto Sans CJK SC"/>
            <family val="2"/>
          </rPr>
          <t>장 총자산회전율</t>
        </r>
        <r>
          <rPr>
            <sz val="10"/>
            <rFont val="Arial"/>
            <family val="2"/>
          </rPr>
          <t>·ROA, 7</t>
        </r>
        <r>
          <rPr>
            <sz val="10"/>
            <rFont val="Noto Sans CJK SC"/>
            <family val="2"/>
          </rPr>
          <t xml:space="preserve">장 </t>
        </r>
        <r>
          <rPr>
            <sz val="10"/>
            <rFont val="Arial"/>
            <family val="2"/>
          </rPr>
          <t>Z-score(X1~X5</t>
        </r>
        <r>
          <rPr>
            <sz val="10"/>
            <rFont val="Noto Sans CJK SC"/>
            <family val="2"/>
          </rPr>
          <t>의 분모</t>
        </r>
        <r>
          <rPr>
            <sz val="10"/>
            <rFont val="Arial"/>
            <family val="2"/>
          </rPr>
          <t>), 8</t>
        </r>
        <r>
          <rPr>
            <sz val="10"/>
            <rFont val="Noto Sans CJK SC"/>
            <family val="2"/>
          </rPr>
          <t>장 발생액</t>
        </r>
        <r>
          <rPr>
            <sz val="10"/>
            <rFont val="Arial"/>
            <family val="2"/>
          </rPr>
          <t>/</t>
        </r>
        <r>
          <rPr>
            <sz val="10"/>
            <rFont val="Noto Sans CJK SC"/>
            <family val="2"/>
          </rPr>
          <t>자산의 공통 분모가 됩니다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분모의 정의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기말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기초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평균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 xml:space="preserve">가 시트마다 다르니 주의 </t>
        </r>
        <r>
          <rPr>
            <sz val="10"/>
            <rFont val="Arial"/>
            <family val="2"/>
          </rPr>
          <t>[Ch06].</t>
        </r>
      </text>
    </comment>
    <comment ref="C55" authorId="0" shapeId="0" xr:uid="{00000000-0006-0000-0800-000004000000}">
      <text>
        <r>
          <rPr>
            <sz val="10"/>
            <rFont val="Noto Sans CJK SC"/>
            <family val="2"/>
          </rPr>
          <t>부채총계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채권자 청구권의 장부금액</t>
        </r>
        <r>
          <rPr>
            <sz val="10"/>
            <rFont val="Arial"/>
            <family val="2"/>
          </rPr>
          <t>. 7</t>
        </r>
        <r>
          <rPr>
            <sz val="10"/>
            <rFont val="Noto Sans CJK SC"/>
            <family val="2"/>
          </rPr>
          <t>장 부채비율의 분자이고</t>
        </r>
        <r>
          <rPr>
            <sz val="10"/>
            <rFont val="Arial"/>
            <family val="2"/>
          </rPr>
          <t xml:space="preserve">, 4-2 </t>
        </r>
        <r>
          <rPr>
            <sz val="10"/>
            <rFont val="Noto Sans CJK SC"/>
            <family val="2"/>
          </rPr>
          <t>순차입금과는 다릅니다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순차입금은 이자부 부채 − 현금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가치평가에서 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부채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 xml:space="preserve">는 이자부 부채만 </t>
        </r>
        <r>
          <rPr>
            <sz val="10"/>
            <rFont val="Arial"/>
            <family val="2"/>
          </rPr>
          <t xml:space="preserve">EV </t>
        </r>
        <r>
          <rPr>
            <sz val="10"/>
            <rFont val="Noto Sans CJK SC"/>
            <family val="2"/>
          </rPr>
          <t xml:space="preserve">브리지에서 차감합니다 </t>
        </r>
        <r>
          <rPr>
            <sz val="10"/>
            <rFont val="Arial"/>
            <family val="2"/>
          </rPr>
          <t>[Ch11].</t>
        </r>
      </text>
    </comment>
    <comment ref="C62" authorId="0" shapeId="0" xr:uid="{00000000-0006-0000-0800-000005000000}">
      <text>
        <r>
          <rPr>
            <sz val="10"/>
            <rFont val="Noto Sans CJK SC"/>
            <family val="2"/>
          </rPr>
          <t>비지배지분을 따로 두는 이유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시가총액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지배주주 순이익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배당은 모회사 주주의 몫이므로 </t>
        </r>
        <r>
          <rPr>
            <sz val="10"/>
            <rFont val="Arial"/>
            <family val="2"/>
          </rPr>
          <t>PBR</t>
        </r>
        <r>
          <rPr>
            <sz val="10"/>
            <rFont val="Noto Sans CJK SC"/>
            <family val="2"/>
          </rPr>
          <t>과 초과이익모형의 장부가치는 자본총계가 아니라 지배기업 소유주지분입니다</t>
        </r>
        <r>
          <rPr>
            <sz val="10"/>
            <rFont val="Arial"/>
            <family val="2"/>
          </rPr>
          <t xml:space="preserve">(2-3 </t>
        </r>
        <r>
          <rPr>
            <sz val="10"/>
            <rFont val="Noto Sans CJK SC"/>
            <family val="2"/>
          </rPr>
          <t xml:space="preserve">시트 </t>
        </r>
        <r>
          <rPr>
            <sz val="10"/>
            <rFont val="Arial"/>
            <family val="2"/>
          </rPr>
          <t>9</t>
        </r>
        <r>
          <rPr>
            <sz val="10"/>
            <rFont val="Noto Sans CJK SC"/>
            <family val="2"/>
          </rPr>
          <t>행</t>
        </r>
        <r>
          <rPr>
            <sz val="10"/>
            <rFont val="Arial"/>
            <family val="2"/>
          </rPr>
          <t>). 11</t>
        </r>
        <r>
          <rPr>
            <sz val="10"/>
            <rFont val="Noto Sans CJK SC"/>
            <family val="2"/>
          </rPr>
          <t xml:space="preserve">장 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자기자본비용은 주주 몫만 계산</t>
        </r>
        <r>
          <rPr>
            <sz val="10"/>
            <rFont val="Arial"/>
            <family val="2"/>
          </rPr>
          <t xml:space="preserve">"[Ch11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5]</t>
        </r>
        <r>
          <rPr>
            <sz val="10"/>
            <rFont val="Noto Sans CJK SC"/>
            <family val="2"/>
          </rPr>
          <t>과 같은 논리</t>
        </r>
        <r>
          <rPr>
            <sz val="10"/>
            <rFont val="Arial"/>
            <family val="2"/>
          </rPr>
          <t xml:space="preserve">. Penman(2013) </t>
        </r>
        <r>
          <rPr>
            <sz val="10"/>
            <rFont val="Noto Sans CJK SC"/>
            <family val="2"/>
          </rPr>
          <t>재무제표 재구성 참조</t>
        </r>
        <r>
          <rPr>
            <sz val="10"/>
            <rFont val="Arial"/>
            <family val="2"/>
          </rPr>
          <t>.</t>
        </r>
      </text>
    </comment>
    <comment ref="C63" authorId="0" shapeId="0" xr:uid="{00000000-0006-0000-0800-000006000000}">
      <text>
        <r>
          <rPr>
            <sz val="10"/>
            <rFont val="Noto Sans CJK SC"/>
            <family val="2"/>
          </rPr>
          <t xml:space="preserve">자본총계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>자본 항목의 합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비지배지분 포함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초과이익모형의 </t>
        </r>
        <r>
          <rPr>
            <sz val="10"/>
            <rFont val="Arial"/>
            <family val="2"/>
          </rPr>
          <t>Equity₀</t>
        </r>
        <r>
          <rPr>
            <sz val="10"/>
            <rFont val="Noto Sans CJK SC"/>
            <family val="2"/>
          </rPr>
          <t>는 이 값이 아니라 지배기업 소유주지분</t>
        </r>
        <r>
          <rPr>
            <sz val="10"/>
            <rFont val="Arial"/>
            <family val="2"/>
          </rPr>
          <t xml:space="preserve">(2-3 </t>
        </r>
        <r>
          <rPr>
            <sz val="10"/>
            <rFont val="Noto Sans CJK SC"/>
            <family val="2"/>
          </rPr>
          <t xml:space="preserve">시트 </t>
        </r>
        <r>
          <rPr>
            <sz val="10"/>
            <rFont val="Arial"/>
            <family val="2"/>
          </rPr>
          <t>9</t>
        </r>
        <r>
          <rPr>
            <sz val="10"/>
            <rFont val="Noto Sans CJK SC"/>
            <family val="2"/>
          </rPr>
          <t>행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모회사 주주의 가치를 구하므로 비지배지분은 제외 </t>
        </r>
        <r>
          <rPr>
            <sz val="10"/>
            <rFont val="Arial"/>
            <family val="2"/>
          </rPr>
          <t xml:space="preserve">[Ch02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7, Ch11].</t>
        </r>
      </text>
    </comment>
    <comment ref="C65" authorId="0" shapeId="0" xr:uid="{00000000-0006-0000-0800-000007000000}">
      <text>
        <r>
          <rPr>
            <sz val="10"/>
            <rFont val="Noto Sans CJK SC"/>
            <family val="2"/>
          </rPr>
          <t>분석적 검토</t>
        </r>
        <r>
          <rPr>
            <sz val="10"/>
            <rFont val="Arial"/>
            <family val="2"/>
          </rPr>
          <t xml:space="preserve">(analytical review): </t>
        </r>
        <r>
          <rPr>
            <sz val="10"/>
            <rFont val="Noto Sans CJK SC"/>
            <family val="2"/>
          </rPr>
          <t xml:space="preserve">전기 대비 </t>
        </r>
        <r>
          <rPr>
            <sz val="10"/>
            <rFont val="Arial"/>
            <family val="2"/>
          </rPr>
          <t xml:space="preserve">30% </t>
        </r>
        <r>
          <rPr>
            <sz val="10"/>
            <rFont val="Noto Sans CJK SC"/>
            <family val="2"/>
          </rPr>
          <t>이상 움직인 계정의 개수</t>
        </r>
        <r>
          <rPr>
            <sz val="10"/>
            <rFont val="Arial"/>
            <family val="2"/>
          </rPr>
          <t>. 9</t>
        </r>
        <r>
          <rPr>
            <sz val="10"/>
            <rFont val="Noto Sans CJK SC"/>
            <family val="2"/>
          </rPr>
          <t>장 이익조정 점검의 출발점이며</t>
        </r>
        <r>
          <rPr>
            <sz val="10"/>
            <rFont val="Arial"/>
            <family val="2"/>
          </rPr>
          <t>, "</t>
        </r>
        <r>
          <rPr>
            <sz val="10"/>
            <rFont val="Noto Sans CJK SC"/>
            <family val="2"/>
          </rPr>
          <t>왜 이렇게 움직였는가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를 주석에서 설명할 수 있어야 합니다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개수 자체가 판단이 아니라 질문 목록입니다 </t>
        </r>
        <r>
          <rPr>
            <sz val="10"/>
            <rFont val="Arial"/>
            <family val="2"/>
          </rPr>
          <t xml:space="preserve">[Ch03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18, Ch09].</t>
        </r>
      </text>
    </comment>
    <comment ref="C66" authorId="0" shapeId="0" xr:uid="{00000000-0006-0000-0800-000008000000}">
      <text>
        <r>
          <rPr>
            <sz val="10"/>
            <rFont val="Noto Sans CJK SC"/>
            <family val="2"/>
          </rPr>
          <t>회계등식 검증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자산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부채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Noto Sans CJK SC"/>
            <family val="2"/>
          </rPr>
          <t>자본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입력 오류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단위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누락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부호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를 잡는 첫 관문</t>
        </r>
        <r>
          <rPr>
            <sz val="10"/>
            <rFont val="Arial"/>
            <family val="2"/>
          </rPr>
          <t>. 1</t>
        </r>
        <r>
          <rPr>
            <sz val="10"/>
            <rFont val="Noto Sans CJK SC"/>
            <family val="2"/>
          </rPr>
          <t>원 미만 차이는 반올림</t>
        </r>
        <r>
          <rPr>
            <sz val="10"/>
            <rFont val="Arial"/>
            <family val="2"/>
          </rPr>
          <t>.</t>
        </r>
      </text>
    </comment>
    <comment ref="C67" authorId="0" shapeId="0" xr:uid="{00000000-0006-0000-0800-000009000000}">
      <text>
        <r>
          <rPr>
            <sz val="10"/>
            <rFont val="Noto Sans CJK SC"/>
            <family val="2"/>
          </rPr>
          <t xml:space="preserve">부채비율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부채총계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>자본총계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한국 실무 표준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 xml:space="preserve">미국은 </t>
        </r>
        <r>
          <rPr>
            <sz val="10"/>
            <rFont val="Arial"/>
            <family val="2"/>
          </rPr>
          <t>D/E</t>
        </r>
        <r>
          <rPr>
            <sz val="10"/>
            <rFont val="Noto Sans CJK SC"/>
            <family val="2"/>
          </rPr>
          <t>에 이자부 부채만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레버리지가 높을수록 </t>
        </r>
        <r>
          <rPr>
            <sz val="10"/>
            <rFont val="Arial"/>
            <family val="2"/>
          </rPr>
          <t xml:space="preserve">ROE </t>
        </r>
        <r>
          <rPr>
            <sz val="10"/>
            <rFont val="Noto Sans CJK SC"/>
            <family val="2"/>
          </rPr>
          <t>분해의 재무레버리지 요소</t>
        </r>
        <r>
          <rPr>
            <sz val="10"/>
            <rFont val="Arial"/>
            <family val="2"/>
          </rPr>
          <t>(6-1)</t>
        </r>
        <r>
          <rPr>
            <sz val="10"/>
            <rFont val="Noto Sans CJK SC"/>
            <family val="2"/>
          </rPr>
          <t xml:space="preserve">와 </t>
        </r>
        <r>
          <rPr>
            <sz val="10"/>
            <rFont val="Arial"/>
            <family val="2"/>
          </rPr>
          <t>β(7</t>
        </r>
        <r>
          <rPr>
            <sz val="10"/>
            <rFont val="Noto Sans CJK SC"/>
            <family val="2"/>
          </rPr>
          <t>장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 xml:space="preserve">가 올라갑니다 </t>
        </r>
        <r>
          <rPr>
            <sz val="10"/>
            <rFont val="Arial"/>
            <family val="2"/>
          </rPr>
          <t xml:space="preserve">[Ch06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12, Ch07].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378FCA89-C4C8-4C3D-B4BB-86E1D32C9D15}">
      <text>
        <r>
          <rPr>
            <sz val="10"/>
            <rFont val="Noto Sans CJK SC"/>
            <family val="2"/>
          </rPr>
          <t>어떤 자산이 가장 큰 비중인가</t>
        </r>
        <r>
          <rPr>
            <sz val="10"/>
            <rFont val="Arial"/>
            <family val="2"/>
          </rPr>
          <t xml:space="preserve">? </t>
        </r>
        <r>
          <rPr>
            <sz val="10"/>
            <rFont val="Noto Sans CJK SC"/>
            <family val="2"/>
          </rPr>
          <t>그 비중이 이 회사의 사업모형과 어떻게 연결되는가</t>
        </r>
        <r>
          <rPr>
            <sz val="10"/>
            <rFont val="Arial"/>
            <family val="2"/>
          </rPr>
          <t>?</t>
        </r>
      </text>
    </comment>
    <comment ref="D6" authorId="0" shapeId="0" xr:uid="{46B27425-2D98-41E3-8874-983463013CB4}">
      <text>
        <r>
          <rPr>
            <sz val="10"/>
            <rFont val="Noto Sans CJK SC"/>
            <family val="2"/>
          </rPr>
          <t>비중이 뚜렷하게 늘거나 준 항목이 있는가</t>
        </r>
        <r>
          <rPr>
            <sz val="10"/>
            <rFont val="Arial"/>
            <family val="2"/>
          </rPr>
          <t xml:space="preserve">? </t>
        </r>
        <r>
          <rPr>
            <sz val="10"/>
            <rFont val="Noto Sans CJK SC"/>
            <family val="2"/>
          </rPr>
          <t>설비투자</t>
        </r>
        <r>
          <rPr>
            <sz val="10"/>
            <rFont val="Arial"/>
            <family val="2"/>
          </rPr>
          <t xml:space="preserve">·M&amp;A </t>
        </r>
        <r>
          <rPr>
            <sz val="10"/>
            <rFont val="Noto Sans CJK SC"/>
            <family val="2"/>
          </rPr>
          <t>등 어떤 사건과 맞물리는가</t>
        </r>
        <r>
          <rPr>
            <sz val="10"/>
            <rFont val="Arial"/>
            <family val="2"/>
          </rPr>
          <t>?</t>
        </r>
      </text>
    </comment>
    <comment ref="D7" authorId="0" shapeId="0" xr:uid="{97272439-7DEB-435D-B10F-68C66AAE2102}">
      <text>
        <r>
          <rPr>
            <sz val="10"/>
            <rFont val="Noto Sans CJK SC"/>
            <family val="2"/>
          </rPr>
          <t>자금의 원천이 채권자인가 주주인가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레버리지 수준은 동종업계 대비 어떤가</t>
        </r>
        <r>
          <rPr>
            <sz val="10"/>
            <rFont val="Arial"/>
            <family val="2"/>
          </rPr>
          <t>?</t>
        </r>
      </text>
    </comment>
    <comment ref="D8" authorId="0" shapeId="0" xr:uid="{2B5E7627-F64F-4380-8FD6-9B0002EAB367}">
      <text>
        <r>
          <rPr>
            <sz val="10"/>
            <rFont val="Noto Sans CJK SC"/>
            <family val="2"/>
          </rPr>
          <t>유동부채 비중이 높다면 단기 상환 부담은 감당 가능한가</t>
        </r>
        <r>
          <rPr>
            <sz val="10"/>
            <rFont val="Arial"/>
            <family val="2"/>
          </rPr>
          <t>?</t>
        </r>
      </text>
    </comment>
    <comment ref="D9" authorId="0" shapeId="0" xr:uid="{13A159D8-BF66-4910-B3DB-6AE25870382C}">
      <text>
        <r>
          <rPr>
            <sz val="10"/>
            <rFont val="Noto Sans CJK SC"/>
            <family val="2"/>
          </rPr>
          <t>공통형 수치에서 두 회사가 가장 크게 갈리는 항목은 무엇이고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왜 그런가</t>
        </r>
        <r>
          <rPr>
            <sz val="10"/>
            <rFont val="Arial"/>
            <family val="2"/>
          </rPr>
          <t>?</t>
        </r>
      </text>
    </comment>
    <comment ref="D10" authorId="0" shapeId="0" xr:uid="{F02BCCF9-6260-4739-B68F-228FBAC52D8B}">
      <text>
        <r>
          <rPr>
            <sz val="10"/>
            <rFont val="Noto Sans CJK SC"/>
            <family val="2"/>
          </rPr>
          <t>브랜드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인력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판매계약 등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강의노트 </t>
        </r>
        <r>
          <rPr>
            <sz val="10"/>
            <rFont val="Arial"/>
            <family val="2"/>
          </rPr>
          <t>4</t>
        </r>
        <r>
          <rPr>
            <sz val="10"/>
            <rFont val="Noto Sans CJK SC"/>
            <family val="2"/>
          </rPr>
          <t>절 참고</t>
        </r>
        <r>
          <rPr>
            <sz val="10"/>
            <rFont val="Arial"/>
            <family val="2"/>
          </rPr>
          <t>.</t>
        </r>
      </text>
    </comment>
    <comment ref="D11" authorId="0" shapeId="0" xr:uid="{0B0BB20A-C618-4767-A2B2-9F092AA74BF9}">
      <text>
        <r>
          <rPr>
            <sz val="10"/>
            <rFont val="Noto Sans CJK SC"/>
            <family val="2"/>
          </rPr>
          <t>주석의 우발채무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보증채무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소송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약정사항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강의노트 </t>
        </r>
        <r>
          <rPr>
            <sz val="10"/>
            <rFont val="Arial"/>
            <family val="2"/>
          </rPr>
          <t>5</t>
        </r>
        <r>
          <rPr>
            <sz val="10"/>
            <rFont val="Noto Sans CJK SC"/>
            <family val="2"/>
          </rPr>
          <t>절 참고</t>
        </r>
        <r>
          <rPr>
            <sz val="10"/>
            <rFont val="Arial"/>
            <family val="2"/>
          </rPr>
          <t>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9" authorId="0" shapeId="0" xr:uid="{00000000-0006-0000-0A00-000001000000}">
      <text>
        <r>
          <rPr>
            <sz val="10"/>
            <rFont val="Noto Sans CJK SC"/>
            <family val="2"/>
          </rPr>
          <t xml:space="preserve">지배기업 소유주지분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>자본총계 − 비지배지분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시가총액은 모회사 주주의 몫이므로 </t>
        </r>
        <r>
          <rPr>
            <sz val="10"/>
            <rFont val="Arial"/>
            <family val="2"/>
          </rPr>
          <t>PBR·ROE·</t>
        </r>
        <r>
          <rPr>
            <sz val="10"/>
            <rFont val="Noto Sans CJK SC"/>
            <family val="2"/>
          </rPr>
          <t xml:space="preserve">초과이익모형의 </t>
        </r>
        <r>
          <rPr>
            <sz val="10"/>
            <rFont val="Arial"/>
            <family val="2"/>
          </rPr>
          <t>Equity</t>
        </r>
        <r>
          <rPr>
            <sz val="10"/>
            <rFont val="Noto Sans CJK SC"/>
            <family val="2"/>
          </rPr>
          <t xml:space="preserve">는 모두 이 값을 씁니다 </t>
        </r>
        <r>
          <rPr>
            <sz val="10"/>
            <rFont val="Arial"/>
            <family val="2"/>
          </rPr>
          <t xml:space="preserve">[Ch02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7].</t>
        </r>
      </text>
    </comment>
    <comment ref="C12" authorId="0" shapeId="0" xr:uid="{00000000-0006-0000-0A00-000002000000}">
      <text>
        <r>
          <rPr>
            <sz val="10"/>
            <rFont val="Noto Sans CJK SC"/>
            <family val="2"/>
          </rPr>
          <t xml:space="preserve">유통주식수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>발행주식수 − 자기주식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자기주식은 회사가 보유한 자기 지분이라 시장에 유통되지 않으므로 시가총액과 주당지표에서 제외합니다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배당총액 </t>
        </r>
        <r>
          <rPr>
            <sz val="10"/>
            <rFont val="Arial"/>
            <family val="2"/>
          </rPr>
          <t>÷ DPS</t>
        </r>
        <r>
          <rPr>
            <sz val="10"/>
            <rFont val="Noto Sans CJK SC"/>
            <family val="2"/>
          </rPr>
          <t>로 역산해 검증할 수 있습니다</t>
        </r>
        <r>
          <rPr>
            <sz val="10"/>
            <rFont val="Arial"/>
            <family val="2"/>
          </rPr>
          <t xml:space="preserve">(11-2 ③ </t>
        </r>
        <r>
          <rPr>
            <sz val="10"/>
            <rFont val="Noto Sans CJK SC"/>
            <family val="2"/>
          </rPr>
          <t>메모</t>
        </r>
        <r>
          <rPr>
            <sz val="10"/>
            <rFont val="Arial"/>
            <family val="2"/>
          </rPr>
          <t>).</t>
        </r>
      </text>
    </comment>
    <comment ref="C13" authorId="0" shapeId="0" xr:uid="{00000000-0006-0000-0A00-000003000000}">
      <text>
        <r>
          <rPr>
            <sz val="10"/>
            <rFont val="Noto Sans CJK SC"/>
            <family val="2"/>
          </rPr>
          <t>결산일 종가를 쓰는 이유</t>
        </r>
        <r>
          <rPr>
            <sz val="10"/>
            <rFont val="Arial"/>
            <family val="2"/>
          </rPr>
          <t>: PBR</t>
        </r>
        <r>
          <rPr>
            <sz val="10"/>
            <rFont val="Noto Sans CJK SC"/>
            <family val="2"/>
          </rPr>
          <t>의 분모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장부가치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가 결산일 값이기 때문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다만 결산 재무제표는 익년 </t>
        </r>
        <r>
          <rPr>
            <sz val="10"/>
            <rFont val="Arial"/>
            <family val="2"/>
          </rPr>
          <t>3</t>
        </r>
        <r>
          <rPr>
            <sz val="10"/>
            <rFont val="Noto Sans CJK SC"/>
            <family val="2"/>
          </rPr>
          <t>월경 공시되므로</t>
        </r>
        <r>
          <rPr>
            <sz val="10"/>
            <rFont val="Arial"/>
            <family val="2"/>
          </rPr>
          <t>, 12</t>
        </r>
        <r>
          <rPr>
            <sz val="10"/>
            <rFont val="Noto Sans CJK SC"/>
            <family val="2"/>
          </rPr>
          <t xml:space="preserve">월 말과 익년 </t>
        </r>
        <r>
          <rPr>
            <sz val="10"/>
            <rFont val="Arial"/>
            <family val="2"/>
          </rPr>
          <t>3</t>
        </r>
        <r>
          <rPr>
            <sz val="10"/>
            <rFont val="Noto Sans CJK SC"/>
            <family val="2"/>
          </rPr>
          <t xml:space="preserve">월 말 두 시점으로 계산해 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시장이 그 정보를 알기 전과 후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를 비교하는 것이 교재의 설계</t>
        </r>
        <r>
          <rPr>
            <sz val="10"/>
            <rFont val="Arial"/>
            <family val="2"/>
          </rPr>
          <t xml:space="preserve">[Ch02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23 </t>
        </r>
        <r>
          <rPr>
            <sz val="10"/>
            <rFont val="Noto Sans CJK SC"/>
            <family val="2"/>
          </rPr>
          <t>노트</t>
        </r>
        <r>
          <rPr>
            <sz val="10"/>
            <rFont val="Arial"/>
            <family val="2"/>
          </rPr>
          <t>].</t>
        </r>
      </text>
    </comment>
    <comment ref="C14" authorId="0" shapeId="0" xr:uid="{00000000-0006-0000-0A00-000004000000}">
      <text>
        <r>
          <rPr>
            <sz val="10"/>
            <rFont val="Noto Sans CJK SC"/>
            <family val="2"/>
          </rPr>
          <t xml:space="preserve">시가총액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종가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Noto Sans CJK SC"/>
            <family val="2"/>
          </rPr>
          <t xml:space="preserve">유통주식수 </t>
        </r>
        <r>
          <rPr>
            <sz val="10"/>
            <rFont val="Arial"/>
            <family val="2"/>
          </rPr>
          <t>÷ 1,000 (</t>
        </r>
        <r>
          <rPr>
            <sz val="10"/>
            <rFont val="Noto Sans CJK SC"/>
            <family val="2"/>
          </rPr>
          <t>천주 → 백만원 단위 환산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>시장이 평가한 자기자본의 가치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장부가치</t>
        </r>
        <r>
          <rPr>
            <sz val="10"/>
            <rFont val="Arial"/>
            <family val="2"/>
          </rPr>
          <t>(9</t>
        </r>
        <r>
          <rPr>
            <sz val="10"/>
            <rFont val="Noto Sans CJK SC"/>
            <family val="2"/>
          </rPr>
          <t>행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 xml:space="preserve">와의 차이가 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 xml:space="preserve">프리미엄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>미래 초과이익의 현재가치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 xml:space="preserve">입니다 </t>
        </r>
        <r>
          <rPr>
            <sz val="10"/>
            <rFont val="Arial"/>
            <family val="2"/>
          </rPr>
          <t xml:space="preserve">[Ch03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25].</t>
        </r>
      </text>
    </comment>
    <comment ref="C15" authorId="0" shapeId="0" xr:uid="{00000000-0006-0000-0A00-000005000000}">
      <text>
        <r>
          <rPr>
            <sz val="10"/>
            <rFont val="Noto Sans CJK SC"/>
            <family val="2"/>
          </rPr>
          <t>주당순자산</t>
        </r>
        <r>
          <rPr>
            <sz val="10"/>
            <rFont val="Arial"/>
            <family val="2"/>
          </rPr>
          <t>(BPS)</t>
        </r>
        <r>
          <rPr>
            <sz val="10"/>
            <rFont val="Noto Sans CJK SC"/>
            <family val="2"/>
          </rPr>
          <t xml:space="preserve">은 </t>
        </r>
        <r>
          <rPr>
            <sz val="10"/>
            <rFont val="Arial"/>
            <family val="2"/>
          </rPr>
          <t>11</t>
        </r>
        <r>
          <rPr>
            <sz val="10"/>
            <rFont val="Noto Sans CJK SC"/>
            <family val="2"/>
          </rPr>
          <t>장 상대가치</t>
        </r>
        <r>
          <rPr>
            <sz val="10"/>
            <rFont val="Arial"/>
            <family val="2"/>
          </rPr>
          <t>(PBR)</t>
        </r>
        <r>
          <rPr>
            <sz val="10"/>
            <rFont val="Noto Sans CJK SC"/>
            <family val="2"/>
          </rPr>
          <t xml:space="preserve">와 초과이익모형의 입력값 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주당 자기자본</t>
        </r>
        <r>
          <rPr>
            <sz val="10"/>
            <rFont val="Arial"/>
            <family val="2"/>
          </rPr>
          <t xml:space="preserve">"[Ch11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5]. </t>
        </r>
        <r>
          <rPr>
            <sz val="10"/>
            <rFont val="Noto Sans CJK SC"/>
            <family val="2"/>
          </rPr>
          <t>유통주식수 기준으로 계산해 시가총액의 주식수 정의와 맞춥니다</t>
        </r>
        <r>
          <rPr>
            <sz val="10"/>
            <rFont val="Arial"/>
            <family val="2"/>
          </rPr>
          <t xml:space="preserve">.
─ </t>
        </r>
        <r>
          <rPr>
            <sz val="10"/>
            <rFont val="Noto Sans CJK SC"/>
            <family val="2"/>
          </rPr>
          <t xml:space="preserve">계산 근거 ─
</t>
        </r>
        <r>
          <rPr>
            <sz val="10"/>
            <rFont val="Arial"/>
            <family val="2"/>
          </rPr>
          <t xml:space="preserve">BPS = </t>
        </r>
        <r>
          <rPr>
            <sz val="10"/>
            <rFont val="Noto Sans CJK SC"/>
            <family val="2"/>
          </rPr>
          <t xml:space="preserve">지배지분 </t>
        </r>
        <r>
          <rPr>
            <sz val="10"/>
            <rFont val="Arial"/>
            <family val="2"/>
          </rPr>
          <t xml:space="preserve">× 1,000 ÷ </t>
        </r>
        <r>
          <rPr>
            <sz val="10"/>
            <rFont val="Noto Sans CJK SC"/>
            <family val="2"/>
          </rPr>
          <t>유통주식수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원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>주당 장부가치</t>
        </r>
        <r>
          <rPr>
            <sz val="10"/>
            <rFont val="Arial"/>
            <family val="2"/>
          </rPr>
          <t xml:space="preserve">. 11-2 </t>
        </r>
        <r>
          <rPr>
            <sz val="10"/>
            <rFont val="Noto Sans CJK SC"/>
            <family val="2"/>
          </rPr>
          <t xml:space="preserve">정당화 </t>
        </r>
        <r>
          <rPr>
            <sz val="10"/>
            <rFont val="Arial"/>
            <family val="2"/>
          </rPr>
          <t xml:space="preserve">PBR × BPS = </t>
        </r>
        <r>
          <rPr>
            <sz val="10"/>
            <rFont val="Noto Sans CJK SC"/>
            <family val="2"/>
          </rPr>
          <t>목표주가의 분모</t>
        </r>
        <r>
          <rPr>
            <sz val="10"/>
            <rFont val="Arial"/>
            <family val="2"/>
          </rPr>
          <t>.</t>
        </r>
      </text>
    </comment>
    <comment ref="C16" authorId="0" shapeId="0" xr:uid="{00000000-0006-0000-0A00-000006000000}">
      <text>
        <r>
          <rPr>
            <sz val="10"/>
            <rFont val="Arial"/>
            <family val="2"/>
          </rPr>
          <t xml:space="preserve">PBR = </t>
        </r>
        <r>
          <rPr>
            <sz val="10"/>
            <rFont val="Noto Sans CJK SC"/>
            <family val="2"/>
          </rPr>
          <t xml:space="preserve">시가총액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>자본의 장부금액</t>
        </r>
        <r>
          <rPr>
            <sz val="10"/>
            <rFont val="Arial"/>
            <family val="2"/>
          </rPr>
          <t xml:space="preserve">[Ch02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23]. 1</t>
        </r>
        <r>
          <rPr>
            <sz val="10"/>
            <rFont val="Noto Sans CJK SC"/>
            <family val="2"/>
          </rPr>
          <t>보다 큰 이유 세 가지</t>
        </r>
        <r>
          <rPr>
            <sz val="10"/>
            <rFont val="Arial"/>
            <family val="2"/>
          </rPr>
          <t xml:space="preserve">: ① </t>
        </r>
        <r>
          <rPr>
            <sz val="10"/>
            <rFont val="Noto Sans CJK SC"/>
            <family val="2"/>
          </rPr>
          <t>잠재적 자산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저평가 자산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측정의 문제</t>
        </r>
        <r>
          <rPr>
            <sz val="10"/>
            <rFont val="Arial"/>
            <family val="2"/>
          </rPr>
          <t xml:space="preserve">) ② </t>
        </r>
        <r>
          <rPr>
            <sz val="10"/>
            <rFont val="Noto Sans CJK SC"/>
            <family val="2"/>
          </rPr>
          <t>장부는 과거회고적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시장은 미래지향적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시점의 문제</t>
        </r>
        <r>
          <rPr>
            <sz val="10"/>
            <rFont val="Arial"/>
            <family val="2"/>
          </rPr>
          <t xml:space="preserve">) ③ </t>
        </r>
        <r>
          <rPr>
            <sz val="10"/>
            <rFont val="Noto Sans CJK SC"/>
            <family val="2"/>
          </rPr>
          <t>시장이 효율적이라는 가정</t>
        </r>
        <r>
          <rPr>
            <sz val="10"/>
            <rFont val="Arial"/>
            <family val="2"/>
          </rPr>
          <t>. "PBR</t>
        </r>
        <r>
          <rPr>
            <sz val="10"/>
            <rFont val="Noto Sans CJK SC"/>
            <family val="2"/>
          </rPr>
          <t>이 낮으면 싸다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 xml:space="preserve">는 위험 — </t>
        </r>
        <r>
          <rPr>
            <sz val="10"/>
            <rFont val="Arial"/>
            <family val="2"/>
          </rPr>
          <t>PBR = PER × ROE</t>
        </r>
        <r>
          <rPr>
            <sz val="10"/>
            <rFont val="Noto Sans CJK SC"/>
            <family val="2"/>
          </rPr>
          <t xml:space="preserve">이므로 </t>
        </r>
        <r>
          <rPr>
            <sz val="10"/>
            <rFont val="Arial"/>
            <family val="2"/>
          </rPr>
          <t>ROE</t>
        </r>
        <r>
          <rPr>
            <sz val="10"/>
            <rFont val="Noto Sans CJK SC"/>
            <family val="2"/>
          </rPr>
          <t xml:space="preserve">가 낮은 기업의 </t>
        </r>
        <r>
          <rPr>
            <sz val="10"/>
            <rFont val="Arial"/>
            <family val="2"/>
          </rPr>
          <t>PBR</t>
        </r>
        <r>
          <rPr>
            <sz val="10"/>
            <rFont val="Noto Sans CJK SC"/>
            <family val="2"/>
          </rPr>
          <t xml:space="preserve">이 낮은 것은 당연
─ 계산 근거 ─
</t>
        </r>
        <r>
          <rPr>
            <sz val="10"/>
            <rFont val="Arial"/>
            <family val="2"/>
          </rPr>
          <t xml:space="preserve">PBR = </t>
        </r>
        <r>
          <rPr>
            <sz val="10"/>
            <rFont val="Noto Sans CJK SC"/>
            <family val="2"/>
          </rPr>
          <t xml:space="preserve">종가 </t>
        </r>
        <r>
          <rPr>
            <sz val="10"/>
            <rFont val="Arial"/>
            <family val="2"/>
          </rPr>
          <t xml:space="preserve">÷ BPS = </t>
        </r>
        <r>
          <rPr>
            <sz val="10"/>
            <rFont val="Noto Sans CJK SC"/>
            <family val="2"/>
          </rPr>
          <t xml:space="preserve">시가총액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>지배지분</t>
        </r>
        <r>
          <rPr>
            <sz val="10"/>
            <rFont val="Arial"/>
            <family val="2"/>
          </rPr>
          <t xml:space="preserve">. PBR &gt; 1 ⇔ </t>
        </r>
        <r>
          <rPr>
            <sz val="10"/>
            <rFont val="Noto Sans CJK SC"/>
            <family val="2"/>
          </rPr>
          <t xml:space="preserve">시장이 미래 </t>
        </r>
        <r>
          <rPr>
            <sz val="10"/>
            <rFont val="Arial"/>
            <family val="2"/>
          </rPr>
          <t>ROE &gt; ρE</t>
        </r>
        <r>
          <rPr>
            <sz val="10"/>
            <rFont val="Noto Sans CJK SC"/>
            <family val="2"/>
          </rPr>
          <t>를 기대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초과이익모형에서는 </t>
        </r>
        <r>
          <rPr>
            <sz val="10"/>
            <rFont val="Arial"/>
            <family val="2"/>
          </rPr>
          <t>PBR − 1 = ΣPV(</t>
        </r>
        <r>
          <rPr>
            <sz val="10"/>
            <rFont val="Noto Sans CJK SC"/>
            <family val="2"/>
          </rPr>
          <t>초과이익</t>
        </r>
        <r>
          <rPr>
            <sz val="10"/>
            <rFont val="Arial"/>
            <family val="2"/>
          </rPr>
          <t xml:space="preserve">) ÷ Equity₀ [Ch03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25, Ch11 </t>
        </r>
        <r>
          <rPr>
            <sz val="10"/>
            <rFont val="Noto Sans CJK SC"/>
            <family val="2"/>
          </rPr>
          <t xml:space="preserve">정당화 </t>
        </r>
        <r>
          <rPr>
            <sz val="10"/>
            <rFont val="Arial"/>
            <family val="2"/>
          </rPr>
          <t>PBR].</t>
        </r>
      </text>
    </comment>
    <comment ref="C17" authorId="0" shapeId="0" xr:uid="{00000000-0006-0000-0A00-000007000000}">
      <text>
        <r>
          <rPr>
            <sz val="10"/>
            <rFont val="Arial"/>
            <family val="2"/>
          </rPr>
          <t xml:space="preserve">ROE = </t>
        </r>
        <r>
          <rPr>
            <sz val="10"/>
            <rFont val="Noto Sans CJK SC"/>
            <family val="2"/>
          </rPr>
          <t xml:space="preserve">당기순이익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>평균자기자본</t>
        </r>
        <r>
          <rPr>
            <sz val="10"/>
            <rFont val="Arial"/>
            <family val="2"/>
          </rPr>
          <t xml:space="preserve">[Ch06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11]. </t>
        </r>
        <r>
          <rPr>
            <sz val="10"/>
            <rFont val="Noto Sans CJK SC"/>
            <family val="2"/>
          </rPr>
          <t xml:space="preserve">여기서는 지배주주 순이익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>평균 지배지분</t>
        </r>
        <r>
          <rPr>
            <sz val="10"/>
            <rFont val="Arial"/>
            <family val="2"/>
          </rPr>
          <t>. 6</t>
        </r>
        <r>
          <rPr>
            <sz val="10"/>
            <rFont val="Noto Sans CJK SC"/>
            <family val="2"/>
          </rPr>
          <t xml:space="preserve">장에서 </t>
        </r>
        <r>
          <rPr>
            <sz val="10"/>
            <rFont val="Arial"/>
            <family val="2"/>
          </rPr>
          <t xml:space="preserve">ROE = </t>
        </r>
        <r>
          <rPr>
            <sz val="10"/>
            <rFont val="Noto Sans CJK SC"/>
            <family val="2"/>
          </rPr>
          <t xml:space="preserve">자본부채이익비율 </t>
        </r>
        <r>
          <rPr>
            <sz val="10"/>
            <rFont val="Arial"/>
            <family val="2"/>
          </rPr>
          <t xml:space="preserve">× ROA × </t>
        </r>
        <r>
          <rPr>
            <sz val="10"/>
            <rFont val="Noto Sans CJK SC"/>
            <family val="2"/>
          </rPr>
          <t>자산자본비율로 분해하고</t>
        </r>
        <r>
          <rPr>
            <sz val="10"/>
            <rFont val="Arial"/>
            <family val="2"/>
          </rPr>
          <t xml:space="preserve">[Ch06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12], 11</t>
        </r>
        <r>
          <rPr>
            <sz val="10"/>
            <rFont val="Noto Sans CJK SC"/>
            <family val="2"/>
          </rPr>
          <t xml:space="preserve">장에서 초과이익 </t>
        </r>
        <r>
          <rPr>
            <sz val="10"/>
            <rFont val="Arial"/>
            <family val="2"/>
          </rPr>
          <t xml:space="preserve">= (ROE − </t>
        </r>
        <r>
          <rPr>
            <sz val="10"/>
            <rFont val="Noto Sans CJK SC"/>
            <family val="2"/>
          </rPr>
          <t>자기자본비용</t>
        </r>
        <r>
          <rPr>
            <sz val="10"/>
            <rFont val="Arial"/>
            <family val="2"/>
          </rPr>
          <t xml:space="preserve">) × </t>
        </r>
        <r>
          <rPr>
            <sz val="10"/>
            <rFont val="Noto Sans CJK SC"/>
            <family val="2"/>
          </rPr>
          <t>기초 자본으로 씁니다</t>
        </r>
        <r>
          <rPr>
            <sz val="10"/>
            <rFont val="Arial"/>
            <family val="2"/>
          </rPr>
          <t xml:space="preserve">[Ch11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12]. "6</t>
        </r>
        <r>
          <rPr>
            <sz val="10"/>
            <rFont val="Noto Sans CJK SC"/>
            <family val="2"/>
          </rPr>
          <t xml:space="preserve">장에서 </t>
        </r>
        <r>
          <rPr>
            <sz val="10"/>
            <rFont val="Arial"/>
            <family val="2"/>
          </rPr>
          <t>ROE</t>
        </r>
        <r>
          <rPr>
            <sz val="10"/>
            <rFont val="Noto Sans CJK SC"/>
            <family val="2"/>
          </rPr>
          <t xml:space="preserve">를 자세히 배운 이유가 </t>
        </r>
        <r>
          <rPr>
            <sz val="10"/>
            <rFont val="Arial"/>
            <family val="2"/>
          </rPr>
          <t>11</t>
        </r>
        <r>
          <rPr>
            <sz val="10"/>
            <rFont val="Noto Sans CJK SC"/>
            <family val="2"/>
          </rPr>
          <t>장에서 드러난다</t>
        </r>
        <r>
          <rPr>
            <sz val="10"/>
            <rFont val="Arial"/>
            <family val="2"/>
          </rPr>
          <t xml:space="preserve">"[Ch11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12 </t>
        </r>
        <r>
          <rPr>
            <sz val="10"/>
            <rFont val="Noto Sans CJK SC"/>
            <family val="2"/>
          </rPr>
          <t>노트</t>
        </r>
        <r>
          <rPr>
            <sz val="10"/>
            <rFont val="Arial"/>
            <family val="2"/>
          </rPr>
          <t xml:space="preserve">].
─ </t>
        </r>
        <r>
          <rPr>
            <sz val="10"/>
            <rFont val="Noto Sans CJK SC"/>
            <family val="2"/>
          </rPr>
          <t xml:space="preserve">계산 근거 ─
</t>
        </r>
        <r>
          <rPr>
            <sz val="10"/>
            <rFont val="Arial"/>
            <family val="2"/>
          </rPr>
          <t xml:space="preserve">ROE = </t>
        </r>
        <r>
          <rPr>
            <sz val="10"/>
            <rFont val="Noto Sans CJK SC"/>
            <family val="2"/>
          </rPr>
          <t xml:space="preserve">지배주주순이익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>평균 지배지분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분모를 평균으로 쓰는 이유는 순이익이 </t>
        </r>
        <r>
          <rPr>
            <sz val="10"/>
            <rFont val="Arial"/>
            <family val="2"/>
          </rPr>
          <t>1</t>
        </r>
        <r>
          <rPr>
            <sz val="10"/>
            <rFont val="Noto Sans CJK SC"/>
            <family val="2"/>
          </rPr>
          <t>년 동안 발생하는 유량</t>
        </r>
        <r>
          <rPr>
            <sz val="10"/>
            <rFont val="Arial"/>
            <family val="2"/>
          </rPr>
          <t>(flow)</t>
        </r>
        <r>
          <rPr>
            <sz val="10"/>
            <rFont val="Noto Sans CJK SC"/>
            <family val="2"/>
          </rPr>
          <t>이고 자본은 시점</t>
        </r>
        <r>
          <rPr>
            <sz val="10"/>
            <rFont val="Arial"/>
            <family val="2"/>
          </rPr>
          <t>(stock)</t>
        </r>
        <r>
          <rPr>
            <sz val="10"/>
            <rFont val="Noto Sans CJK SC"/>
            <family val="2"/>
          </rPr>
          <t>이기 때문입니다</t>
        </r>
        <r>
          <rPr>
            <sz val="10"/>
            <rFont val="Arial"/>
            <family val="2"/>
          </rPr>
          <t>. 11-2</t>
        </r>
        <r>
          <rPr>
            <sz val="10"/>
            <rFont val="Noto Sans CJK SC"/>
            <family val="2"/>
          </rPr>
          <t xml:space="preserve">의 초과이익 계산은 기초 자본 기준이라 값이 조금 다릅니다 — 정의를 확인하고 비교하세요 </t>
        </r>
        <r>
          <rPr>
            <sz val="10"/>
            <rFont val="Arial"/>
            <family val="2"/>
          </rPr>
          <t>[Ch06].</t>
        </r>
      </text>
    </comment>
    <comment ref="D17" authorId="0" shapeId="0" xr:uid="{00000000-0006-0000-0A00-000009000000}">
      <text>
        <r>
          <rPr>
            <sz val="10"/>
            <rFont val="Arial"/>
            <family val="2"/>
          </rPr>
          <t>2020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>ROE</t>
        </r>
        <r>
          <rPr>
            <sz val="10"/>
            <rFont val="Noto Sans CJK SC"/>
            <family val="2"/>
          </rPr>
          <t xml:space="preserve">는 </t>
        </r>
        <r>
          <rPr>
            <sz val="10"/>
            <rFont val="Arial"/>
            <family val="2"/>
          </rPr>
          <t>2019</t>
        </r>
        <r>
          <rPr>
            <sz val="10"/>
            <rFont val="Noto Sans CJK SC"/>
            <family val="2"/>
          </rPr>
          <t>년 말 지배지분이 이 파일에 없어 값으로 입력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 xml:space="preserve">지배주주순이익 </t>
        </r>
        <r>
          <rPr>
            <sz val="10"/>
            <rFont val="Arial"/>
            <family val="2"/>
          </rPr>
          <t xml:space="preserve">4,755,102 ÷ </t>
        </r>
        <r>
          <rPr>
            <sz val="10"/>
            <rFont val="Noto Sans CJK SC"/>
            <family val="2"/>
          </rPr>
          <t>평균 지배지분</t>
        </r>
        <r>
          <rPr>
            <sz val="10"/>
            <rFont val="Arial"/>
            <family val="2"/>
          </rPr>
          <t>). 2019</t>
        </r>
        <r>
          <rPr>
            <sz val="10"/>
            <rFont val="Noto Sans CJK SC"/>
            <family val="2"/>
          </rPr>
          <t>년 재무상태표를 추가하면 옆 열처럼 수식으로 바꾸세요</t>
        </r>
        <r>
          <rPr>
            <sz val="10"/>
            <rFont val="Arial"/>
            <family val="2"/>
          </rPr>
          <t>.</t>
        </r>
      </text>
    </comment>
    <comment ref="K17" authorId="0" shapeId="0" xr:uid="{00000000-0006-0000-0A00-00000B000000}">
      <text>
        <r>
          <rPr>
            <sz val="10"/>
            <rFont val="Arial"/>
            <family val="2"/>
          </rPr>
          <t>2020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>ROE</t>
        </r>
        <r>
          <rPr>
            <sz val="10"/>
            <rFont val="Noto Sans CJK SC"/>
            <family val="2"/>
          </rPr>
          <t xml:space="preserve">는 </t>
        </r>
        <r>
          <rPr>
            <sz val="10"/>
            <rFont val="Arial"/>
            <family val="2"/>
          </rPr>
          <t>2019</t>
        </r>
        <r>
          <rPr>
            <sz val="10"/>
            <rFont val="Noto Sans CJK SC"/>
            <family val="2"/>
          </rPr>
          <t>년 말 지배지분이 이 파일에 없어 값으로 입력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 xml:space="preserve">지배주주순이익 </t>
        </r>
        <r>
          <rPr>
            <sz val="10"/>
            <rFont val="Arial"/>
            <family val="2"/>
          </rPr>
          <t xml:space="preserve">4,755,102 ÷ </t>
        </r>
        <r>
          <rPr>
            <sz val="10"/>
            <rFont val="Noto Sans CJK SC"/>
            <family val="2"/>
          </rPr>
          <t>평균 지배지분</t>
        </r>
        <r>
          <rPr>
            <sz val="10"/>
            <rFont val="Arial"/>
            <family val="2"/>
          </rPr>
          <t>). 2019</t>
        </r>
        <r>
          <rPr>
            <sz val="10"/>
            <rFont val="Noto Sans CJK SC"/>
            <family val="2"/>
          </rPr>
          <t>년 재무상태표를 추가하면 옆 열처럼 수식으로 바꾸세요</t>
        </r>
        <r>
          <rPr>
            <sz val="10"/>
            <rFont val="Arial"/>
            <family val="2"/>
          </rPr>
          <t>.</t>
        </r>
      </text>
    </comment>
    <comment ref="C29" authorId="0" shapeId="0" xr:uid="{00000000-0006-0000-0A00-000008000000}">
      <text>
        <r>
          <rPr>
            <sz val="10"/>
            <rFont val="Arial"/>
            <family val="2"/>
          </rPr>
          <t>6</t>
        </r>
        <r>
          <rPr>
            <sz val="10"/>
            <rFont val="Noto Sans CJK SC"/>
            <family val="2"/>
          </rPr>
          <t>개년 평균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최대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최소 </t>
        </r>
        <r>
          <rPr>
            <sz val="10"/>
            <rFont val="Arial"/>
            <family val="2"/>
          </rPr>
          <t xml:space="preserve">PBR: </t>
        </r>
        <r>
          <rPr>
            <sz val="10"/>
            <rFont val="Noto Sans CJK SC"/>
            <family val="2"/>
          </rPr>
          <t xml:space="preserve">사이클 기업의 </t>
        </r>
        <r>
          <rPr>
            <sz val="10"/>
            <rFont val="Arial"/>
            <family val="2"/>
          </rPr>
          <t xml:space="preserve">PBR </t>
        </r>
        <r>
          <rPr>
            <sz val="10"/>
            <rFont val="Noto Sans CJK SC"/>
            <family val="2"/>
          </rPr>
          <t>밴드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상대가치</t>
        </r>
        <r>
          <rPr>
            <sz val="10"/>
            <rFont val="Arial"/>
            <family val="2"/>
          </rPr>
          <t>(11-3)</t>
        </r>
        <r>
          <rPr>
            <sz val="10"/>
            <rFont val="Noto Sans CJK SC"/>
            <family val="2"/>
          </rPr>
          <t xml:space="preserve">에서 현재 </t>
        </r>
        <r>
          <rPr>
            <sz val="10"/>
            <rFont val="Arial"/>
            <family val="2"/>
          </rPr>
          <t>PBR</t>
        </r>
        <r>
          <rPr>
            <sz val="10"/>
            <rFont val="Noto Sans CJK SC"/>
            <family val="2"/>
          </rPr>
          <t>이 자기 역사 안 어디쯤인지 보는 기준</t>
        </r>
        <r>
          <rPr>
            <sz val="10"/>
            <rFont val="Arial"/>
            <family val="2"/>
          </rPr>
          <t>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B00-000001000000}">
      <text>
        <r>
          <rPr>
            <sz val="10"/>
            <rFont val="Noto Sans CJK SC"/>
            <family val="2"/>
          </rPr>
          <t>손익계산서의 구조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매출 → 매출총이익 → 영업이익 → 세전 → 순이익</t>
        </r>
        <r>
          <rPr>
            <sz val="10"/>
            <rFont val="Arial"/>
            <family val="2"/>
          </rPr>
          <t xml:space="preserve">)[Ch03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5]. </t>
        </r>
        <r>
          <rPr>
            <sz val="10"/>
            <rFont val="Noto Sans CJK SC"/>
            <family val="2"/>
          </rPr>
          <t>공통형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증감율은 </t>
        </r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 xml:space="preserve">장과 같은 도구이며 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 xml:space="preserve">시계열로 튀는 해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Noto Sans CJK SC"/>
            <family val="2"/>
          </rPr>
          <t>비교기업과의 격차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를 함께 봐야 한다</t>
        </r>
        <r>
          <rPr>
            <sz val="10"/>
            <rFont val="Arial"/>
            <family val="2"/>
          </rPr>
          <t xml:space="preserve">[Ch03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18]. </t>
        </r>
        <r>
          <rPr>
            <sz val="10"/>
            <rFont val="Noto Sans CJK SC"/>
            <family val="2"/>
          </rPr>
          <t>여기 입력한 순이익</t>
        </r>
        <r>
          <rPr>
            <sz val="10"/>
            <rFont val="Arial"/>
            <family val="2"/>
          </rPr>
          <t>·EPS</t>
        </r>
        <r>
          <rPr>
            <sz val="10"/>
            <rFont val="Noto Sans CJK SC"/>
            <family val="2"/>
          </rPr>
          <t xml:space="preserve">는 </t>
        </r>
        <r>
          <rPr>
            <sz val="10"/>
            <rFont val="Arial"/>
            <family val="2"/>
          </rPr>
          <t>3-3 PER, 4</t>
        </r>
        <r>
          <rPr>
            <sz val="10"/>
            <rFont val="Noto Sans CJK SC"/>
            <family val="2"/>
          </rPr>
          <t>장 이익의 질</t>
        </r>
        <r>
          <rPr>
            <sz val="10"/>
            <rFont val="Arial"/>
            <family val="2"/>
          </rPr>
          <t xml:space="preserve">(OCF − </t>
        </r>
        <r>
          <rPr>
            <sz val="10"/>
            <rFont val="Noto Sans CJK SC"/>
            <family val="2"/>
          </rPr>
          <t xml:space="preserve">감가상각비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>순이익</t>
        </r>
        <r>
          <rPr>
            <sz val="10"/>
            <rFont val="Arial"/>
            <family val="2"/>
          </rPr>
          <t xml:space="preserve">)[Ch04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13], 6</t>
        </r>
        <r>
          <rPr>
            <sz val="10"/>
            <rFont val="Noto Sans CJK SC"/>
            <family val="2"/>
          </rPr>
          <t xml:space="preserve">장 </t>
        </r>
        <r>
          <rPr>
            <sz val="10"/>
            <rFont val="Arial"/>
            <family val="2"/>
          </rPr>
          <t xml:space="preserve">ROA·ROE[Ch06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6, 11], 11</t>
        </r>
        <r>
          <rPr>
            <sz val="10"/>
            <rFont val="Noto Sans CJK SC"/>
            <family val="2"/>
          </rPr>
          <t xml:space="preserve">장 초과이익모형의 </t>
        </r>
        <r>
          <rPr>
            <sz val="10"/>
            <rFont val="Arial"/>
            <family val="2"/>
          </rPr>
          <t xml:space="preserve">NI[Ch11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12]</t>
        </r>
        <r>
          <rPr>
            <sz val="10"/>
            <rFont val="Noto Sans CJK SC"/>
            <family val="2"/>
          </rPr>
          <t>로 재사용된다</t>
        </r>
        <r>
          <rPr>
            <sz val="10"/>
            <rFont val="Arial"/>
            <family val="2"/>
          </rPr>
          <t>.</t>
        </r>
      </text>
    </comment>
    <comment ref="T5" authorId="0" shapeId="0" xr:uid="{00000000-0006-0000-0B00-000010000000}">
      <text>
        <r>
          <rPr>
            <sz val="10"/>
            <rFont val="Noto Sans CJK SC"/>
            <family val="2"/>
          </rPr>
          <t xml:space="preserve">공통형 손익계산서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각 항목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>매출액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매출 </t>
        </r>
        <r>
          <rPr>
            <sz val="10"/>
            <rFont val="Arial"/>
            <family val="2"/>
          </rPr>
          <t>1</t>
        </r>
        <r>
          <rPr>
            <sz val="10"/>
            <rFont val="Noto Sans CJK SC"/>
            <family val="2"/>
          </rPr>
          <t>원당 원가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판관비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이익 구조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두 기업의 마진 구조 차이와 연도별 마진 변동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사이클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을 보는 표이며</t>
        </r>
        <r>
          <rPr>
            <sz val="10"/>
            <rFont val="Arial"/>
            <family val="2"/>
          </rPr>
          <t>, 10-1</t>
        </r>
        <r>
          <rPr>
            <sz val="10"/>
            <rFont val="Noto Sans CJK SC"/>
            <family val="2"/>
          </rPr>
          <t>의 원가율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영업이익률 가정이 여기서 나옵니다 </t>
        </r>
        <r>
          <rPr>
            <sz val="10"/>
            <rFont val="Arial"/>
            <family val="2"/>
          </rPr>
          <t>[Ch03].</t>
        </r>
      </text>
    </comment>
    <comment ref="C8" authorId="0" shapeId="0" xr:uid="{00000000-0006-0000-0B00-000002000000}">
      <text>
        <r>
          <rPr>
            <sz val="10"/>
            <rFont val="Noto Sans CJK SC"/>
            <family val="2"/>
          </rPr>
          <t xml:space="preserve">매출총이익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>매출액 − 매출원가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톡신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필러는 매출원가율이 낮아 매출총이익률이 높고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대신 판관비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연구개발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광고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지급수수료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소송비용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 xml:space="preserve">에서 이익이 갈립니다 </t>
        </r>
        <r>
          <rPr>
            <sz val="10"/>
            <rFont val="Arial"/>
            <family val="2"/>
          </rPr>
          <t>[Ch03].</t>
        </r>
      </text>
    </comment>
    <comment ref="C10" authorId="0" shapeId="0" xr:uid="{00000000-0006-0000-0B00-000003000000}">
      <text>
        <r>
          <rPr>
            <sz val="10"/>
            <rFont val="Noto Sans CJK SC"/>
            <family val="2"/>
          </rPr>
          <t xml:space="preserve">영업이익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>매출총이익 − 판관비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핵심 영업활동의 성과이며</t>
        </r>
        <r>
          <rPr>
            <sz val="10"/>
            <rFont val="Arial"/>
            <family val="2"/>
          </rPr>
          <t>, 20</t>
        </r>
        <r>
          <rPr>
            <sz val="10"/>
            <rFont val="Noto Sans CJK SC"/>
            <family val="2"/>
          </rPr>
          <t>행에서 사업보고서 영업이익과 일치하는지 검증합니다</t>
        </r>
        <r>
          <rPr>
            <sz val="10"/>
            <rFont val="Arial"/>
            <family val="2"/>
          </rPr>
          <t>(K-IFRS</t>
        </r>
        <r>
          <rPr>
            <sz val="10"/>
            <rFont val="Noto Sans CJK SC"/>
            <family val="2"/>
          </rPr>
          <t>는 영업이익 정의를 한국 표준으로 통일</t>
        </r>
        <r>
          <rPr>
            <sz val="10"/>
            <rFont val="Arial"/>
            <family val="2"/>
          </rPr>
          <t>). 10</t>
        </r>
        <r>
          <rPr>
            <sz val="10"/>
            <rFont val="Noto Sans CJK SC"/>
            <family val="2"/>
          </rPr>
          <t xml:space="preserve">장 예측의 출발점이자 </t>
        </r>
        <r>
          <rPr>
            <sz val="10"/>
            <rFont val="Arial"/>
            <family val="2"/>
          </rPr>
          <t>EBITDA·NOPAT</t>
        </r>
        <r>
          <rPr>
            <sz val="10"/>
            <rFont val="Noto Sans CJK SC"/>
            <family val="2"/>
          </rPr>
          <t xml:space="preserve">의 기초 </t>
        </r>
        <r>
          <rPr>
            <sz val="10"/>
            <rFont val="Arial"/>
            <family val="2"/>
          </rPr>
          <t>[Ch03].</t>
        </r>
      </text>
    </comment>
    <comment ref="C15" authorId="0" shapeId="0" xr:uid="{00000000-0006-0000-0B00-000004000000}">
      <text>
        <r>
          <rPr>
            <sz val="10"/>
            <rFont val="Noto Sans CJK SC"/>
            <family val="2"/>
          </rPr>
          <t xml:space="preserve">법인세비용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>세전이익 − 계속영업순이익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당기순이익 − 중단영업손익</t>
        </r>
        <r>
          <rPr>
            <sz val="10"/>
            <rFont val="Arial"/>
            <family val="2"/>
          </rPr>
          <t xml:space="preserve">). 10-1 </t>
        </r>
        <r>
          <rPr>
            <sz val="10"/>
            <rFont val="Noto Sans CJK SC"/>
            <family val="2"/>
          </rPr>
          <t>실효세율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 xml:space="preserve">법인세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>세전이익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의 분자입니다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이연법인세자산 인식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환입이 크면 실효세율이 크게 흔들립니다</t>
        </r>
        <r>
          <rPr>
            <sz val="10"/>
            <rFont val="Arial"/>
            <family val="2"/>
          </rPr>
          <t>.</t>
        </r>
      </text>
    </comment>
    <comment ref="C16" authorId="0" shapeId="0" xr:uid="{00000000-0006-0000-0B00-000005000000}">
      <text>
        <r>
          <rPr>
            <sz val="10"/>
            <rFont val="Noto Sans CJK SC"/>
            <family val="2"/>
          </rPr>
          <t xml:space="preserve">기타영업외손익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세전이익 − 영업이익 − 금융수익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Noto Sans CJK SC"/>
            <family val="2"/>
          </rPr>
          <t xml:space="preserve">금융비용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잔차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>지분법손익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자산처분손익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외환차손익 등 비반복 항목이 모입니다</t>
        </r>
        <r>
          <rPr>
            <sz val="10"/>
            <rFont val="Arial"/>
            <family val="2"/>
          </rPr>
          <t>. 10</t>
        </r>
        <r>
          <rPr>
            <sz val="10"/>
            <rFont val="Noto Sans CJK SC"/>
            <family val="2"/>
          </rPr>
          <t xml:space="preserve">장에서는 지속되지 않는다고 보고 </t>
        </r>
        <r>
          <rPr>
            <sz val="10"/>
            <rFont val="Arial"/>
            <family val="2"/>
          </rPr>
          <t>0</t>
        </r>
        <r>
          <rPr>
            <sz val="10"/>
            <rFont val="Noto Sans CJK SC"/>
            <family val="2"/>
          </rPr>
          <t xml:space="preserve">으로 예측합니다 </t>
        </r>
        <r>
          <rPr>
            <sz val="10"/>
            <rFont val="Arial"/>
            <family val="2"/>
          </rPr>
          <t xml:space="preserve">[Ch03 </t>
        </r>
        <r>
          <rPr>
            <sz val="10"/>
            <rFont val="Noto Sans CJK SC"/>
            <family val="2"/>
          </rPr>
          <t>정규화</t>
        </r>
        <r>
          <rPr>
            <sz val="10"/>
            <rFont val="Arial"/>
            <family val="2"/>
          </rPr>
          <t>].</t>
        </r>
      </text>
    </comment>
    <comment ref="C18" authorId="0" shapeId="0" xr:uid="{00000000-0006-0000-0B00-000006000000}">
      <text>
        <r>
          <rPr>
            <sz val="10"/>
            <rFont val="Noto Sans CJK SC"/>
            <family val="2"/>
          </rPr>
          <t xml:space="preserve">법인세비용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>세전이익 − 계속영업순이익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당기순이익 − 중단영업손익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잔차</t>
        </r>
        <r>
          <rPr>
            <sz val="10"/>
            <rFont val="Arial"/>
            <family val="2"/>
          </rPr>
          <t xml:space="preserve">). 10-1 </t>
        </r>
        <r>
          <rPr>
            <sz val="10"/>
            <rFont val="Noto Sans CJK SC"/>
            <family val="2"/>
          </rPr>
          <t>실효세율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 xml:space="preserve">법인세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>세전이익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의 분자입니다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이연법인세자산의 인식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환입이 크면 실효세율이 법정세율과 크게 달라집니다</t>
        </r>
        <r>
          <rPr>
            <sz val="10"/>
            <rFont val="Arial"/>
            <family val="2"/>
          </rPr>
          <t>.</t>
        </r>
      </text>
    </comment>
    <comment ref="C21" authorId="0" shapeId="0" xr:uid="{00000000-0006-0000-0B00-000007000000}">
      <text>
        <r>
          <rPr>
            <sz val="10"/>
            <rFont val="Arial"/>
            <family val="2"/>
          </rPr>
          <t>PBR·PER·ROE·</t>
        </r>
        <r>
          <rPr>
            <sz val="10"/>
            <rFont val="Noto Sans CJK SC"/>
            <family val="2"/>
          </rPr>
          <t>초과이익모형은 모두 지배기업 소유주지분 순이익을 쓴다</t>
        </r>
        <r>
          <rPr>
            <sz val="10"/>
            <rFont val="Arial"/>
            <family val="2"/>
          </rPr>
          <t xml:space="preserve">(2-3 </t>
        </r>
        <r>
          <rPr>
            <sz val="10"/>
            <rFont val="Noto Sans CJK SC"/>
            <family val="2"/>
          </rPr>
          <t xml:space="preserve">시트 </t>
        </r>
        <r>
          <rPr>
            <sz val="10"/>
            <rFont val="Arial"/>
            <family val="2"/>
          </rPr>
          <t>17</t>
        </r>
        <r>
          <rPr>
            <sz val="10"/>
            <rFont val="Noto Sans CJK SC"/>
            <family val="2"/>
          </rPr>
          <t xml:space="preserve">행 </t>
        </r>
        <r>
          <rPr>
            <sz val="10"/>
            <rFont val="Arial"/>
            <family val="2"/>
          </rPr>
          <t>ROE</t>
        </r>
        <r>
          <rPr>
            <sz val="10"/>
            <rFont val="Noto Sans CJK SC"/>
            <family val="2"/>
          </rPr>
          <t>와 같은 주체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>비지배지분 순이익은 자회사 소수주주의 몫</t>
        </r>
        <r>
          <rPr>
            <sz val="10"/>
            <rFont val="Arial"/>
            <family val="2"/>
          </rPr>
          <t xml:space="preserve">[Ch11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5 </t>
        </r>
        <r>
          <rPr>
            <sz val="10"/>
            <rFont val="Noto Sans CJK SC"/>
            <family val="2"/>
          </rPr>
          <t>노트</t>
        </r>
        <r>
          <rPr>
            <sz val="10"/>
            <rFont val="Arial"/>
            <family val="2"/>
          </rPr>
          <t>].</t>
        </r>
      </text>
    </comment>
    <comment ref="C22" authorId="0" shapeId="0" xr:uid="{00000000-0006-0000-0B00-000008000000}">
      <text>
        <r>
          <rPr>
            <sz val="10"/>
            <rFont val="Noto Sans CJK SC"/>
            <family val="2"/>
          </rPr>
          <t xml:space="preserve">비지배지분 순이익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>당기순이익 − 지배주주순이익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자회사 소수주주 몫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주당지표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초과이익모형은 지배주주순이익</t>
        </r>
        <r>
          <rPr>
            <sz val="10"/>
            <rFont val="Arial"/>
            <family val="2"/>
          </rPr>
          <t>(17</t>
        </r>
        <r>
          <rPr>
            <sz val="10"/>
            <rFont val="Noto Sans CJK SC"/>
            <family val="2"/>
          </rPr>
          <t>행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만 씁니다</t>
        </r>
        <r>
          <rPr>
            <sz val="10"/>
            <rFont val="Arial"/>
            <family val="2"/>
          </rPr>
          <t>.</t>
        </r>
      </text>
    </comment>
    <comment ref="C25" authorId="0" shapeId="0" xr:uid="{00000000-0006-0000-0B00-000009000000}">
      <text>
        <r>
          <rPr>
            <sz val="10"/>
            <rFont val="Noto Sans CJK SC"/>
            <family val="2"/>
          </rPr>
          <t>검증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매출총이익 − 판관비로 계산한 영업이익이 사업보고서 공시 영업이익과 같은가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다르면 판관비에 포함되지 않은 항목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기타영업비용 등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이 있으니 계정 매핑을 다시 봅니다</t>
        </r>
        <r>
          <rPr>
            <sz val="10"/>
            <rFont val="Arial"/>
            <family val="2"/>
          </rPr>
          <t>.</t>
        </r>
      </text>
    </comment>
    <comment ref="E30" authorId="0" shapeId="0" xr:uid="{00000000-0006-0000-0B00-000011000000}">
      <text>
        <r>
          <rPr>
            <sz val="10"/>
            <rFont val="Noto Sans CJK SC"/>
            <family val="2"/>
          </rPr>
          <t xml:space="preserve">증감율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당기 </t>
        </r>
        <r>
          <rPr>
            <sz val="10"/>
            <rFont val="Arial"/>
            <family val="2"/>
          </rPr>
          <t>÷ |</t>
        </r>
        <r>
          <rPr>
            <sz val="10"/>
            <rFont val="Noto Sans CJK SC"/>
            <family val="2"/>
          </rPr>
          <t>전기</t>
        </r>
        <r>
          <rPr>
            <sz val="10"/>
            <rFont val="Arial"/>
            <family val="2"/>
          </rPr>
          <t xml:space="preserve">| − 1. </t>
        </r>
        <r>
          <rPr>
            <sz val="10"/>
            <rFont val="Noto Sans CJK SC"/>
            <family val="2"/>
          </rPr>
          <t>분모에 절댓값을 쓰는 이유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전기가 음수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적자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일 때 부호가 뒤집히는 것을 막기 위해서입니다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매출 성장률은 </t>
        </r>
        <r>
          <rPr>
            <sz val="10"/>
            <rFont val="Arial"/>
            <family val="2"/>
          </rPr>
          <t>10-1 CAGR·</t>
        </r>
        <r>
          <rPr>
            <sz val="10"/>
            <rFont val="Noto Sans CJK SC"/>
            <family val="2"/>
          </rPr>
          <t>기본 가정의 근거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나머지는 </t>
        </r>
        <r>
          <rPr>
            <sz val="10"/>
            <rFont val="Arial"/>
            <family val="2"/>
          </rPr>
          <t xml:space="preserve">9-1 </t>
        </r>
        <r>
          <rPr>
            <sz val="10"/>
            <rFont val="Noto Sans CJK SC"/>
            <family val="2"/>
          </rPr>
          <t xml:space="preserve">분석적 검토의 재료 </t>
        </r>
        <r>
          <rPr>
            <sz val="10"/>
            <rFont val="Arial"/>
            <family val="2"/>
          </rPr>
          <t xml:space="preserve">[Ch03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18].</t>
        </r>
      </text>
    </comment>
    <comment ref="C48" authorId="0" shapeId="0" xr:uid="{00000000-0006-0000-0B00-00000A000000}">
      <text>
        <r>
          <rPr>
            <sz val="10"/>
            <rFont val="Arial"/>
            <family val="2"/>
          </rPr>
          <t>PER</t>
        </r>
        <r>
          <rPr>
            <sz val="10"/>
            <rFont val="Noto Sans CJK SC"/>
            <family val="2"/>
          </rPr>
          <t>의 분모 선택지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직전 연도 </t>
        </r>
        <r>
          <rPr>
            <sz val="10"/>
            <rFont val="Arial"/>
            <family val="2"/>
          </rPr>
          <t>EPS(</t>
        </r>
        <r>
          <rPr>
            <sz val="10"/>
            <rFont val="Noto Sans CJK SC"/>
            <family val="2"/>
          </rPr>
          <t>후행</t>
        </r>
        <r>
          <rPr>
            <sz val="10"/>
            <rFont val="Arial"/>
            <family val="2"/>
          </rPr>
          <t>) / 3</t>
        </r>
        <r>
          <rPr>
            <sz val="10"/>
            <rFont val="Noto Sans CJK SC"/>
            <family val="2"/>
          </rPr>
          <t xml:space="preserve">개년 평균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애널리스트 예측치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선행</t>
        </r>
        <r>
          <rPr>
            <sz val="10"/>
            <rFont val="Arial"/>
            <family val="2"/>
          </rPr>
          <t>) [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19]. </t>
        </r>
        <r>
          <rPr>
            <sz val="10"/>
            <rFont val="Noto Sans CJK SC"/>
            <family val="2"/>
          </rPr>
          <t xml:space="preserve">적자 연도는 </t>
        </r>
        <r>
          <rPr>
            <sz val="10"/>
            <rFont val="Arial"/>
            <family val="2"/>
          </rPr>
          <t xml:space="preserve">PER </t>
        </r>
        <r>
          <rPr>
            <sz val="10"/>
            <rFont val="Noto Sans CJK SC"/>
            <family val="2"/>
          </rPr>
          <t xml:space="preserve">정의 불가 → </t>
        </r>
        <r>
          <rPr>
            <sz val="10"/>
            <rFont val="Arial"/>
            <family val="2"/>
          </rPr>
          <t>PSR</t>
        </r>
        <r>
          <rPr>
            <sz val="10"/>
            <rFont val="Noto Sans CJK SC"/>
            <family val="2"/>
          </rPr>
          <t>로 대체</t>
        </r>
        <r>
          <rPr>
            <sz val="10"/>
            <rFont val="Arial"/>
            <family val="2"/>
          </rPr>
          <t xml:space="preserve">.
─ </t>
        </r>
        <r>
          <rPr>
            <sz val="10"/>
            <rFont val="Noto Sans CJK SC"/>
            <family val="2"/>
          </rPr>
          <t xml:space="preserve">계산 근거 ─
후행 </t>
        </r>
        <r>
          <rPr>
            <sz val="10"/>
            <rFont val="Arial"/>
            <family val="2"/>
          </rPr>
          <t xml:space="preserve">PER = </t>
        </r>
        <r>
          <rPr>
            <sz val="10"/>
            <rFont val="Noto Sans CJK SC"/>
            <family val="2"/>
          </rPr>
          <t xml:space="preserve">종가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 xml:space="preserve">직전 회계연도 </t>
        </r>
        <r>
          <rPr>
            <sz val="10"/>
            <rFont val="Arial"/>
            <family val="2"/>
          </rPr>
          <t xml:space="preserve">EPS. </t>
        </r>
        <r>
          <rPr>
            <sz val="10"/>
            <rFont val="Noto Sans CJK SC"/>
            <family val="2"/>
          </rPr>
          <t xml:space="preserve">일회성 이익이 큰 해의 </t>
        </r>
        <r>
          <rPr>
            <sz val="10"/>
            <rFont val="Arial"/>
            <family val="2"/>
          </rPr>
          <t>EPS</t>
        </r>
        <r>
          <rPr>
            <sz val="10"/>
            <rFont val="Noto Sans CJK SC"/>
            <family val="2"/>
          </rPr>
          <t xml:space="preserve">로 나누면 </t>
        </r>
        <r>
          <rPr>
            <sz val="10"/>
            <rFont val="Arial"/>
            <family val="2"/>
          </rPr>
          <t>PER</t>
        </r>
        <r>
          <rPr>
            <sz val="10"/>
            <rFont val="Noto Sans CJK SC"/>
            <family val="2"/>
          </rPr>
          <t>이 낮게 보여 싸 보이므로</t>
        </r>
        <r>
          <rPr>
            <sz val="10"/>
            <rFont val="Arial"/>
            <family val="2"/>
          </rPr>
          <t>, 3</t>
        </r>
        <r>
          <rPr>
            <sz val="10"/>
            <rFont val="Noto Sans CJK SC"/>
            <family val="2"/>
          </rPr>
          <t xml:space="preserve">개년 평균 </t>
        </r>
        <r>
          <rPr>
            <sz val="10"/>
            <rFont val="Arial"/>
            <family val="2"/>
          </rPr>
          <t xml:space="preserve">EPS </t>
        </r>
        <r>
          <rPr>
            <sz val="10"/>
            <rFont val="Noto Sans CJK SC"/>
            <family val="2"/>
          </rPr>
          <t xml:space="preserve">기준과 </t>
        </r>
        <r>
          <rPr>
            <sz val="10"/>
            <rFont val="Arial"/>
            <family val="2"/>
          </rPr>
          <t>PSR</t>
        </r>
        <r>
          <rPr>
            <sz val="10"/>
            <rFont val="Noto Sans CJK SC"/>
            <family val="2"/>
          </rPr>
          <t xml:space="preserve">을 함께 둡니다 </t>
        </r>
        <r>
          <rPr>
            <sz val="10"/>
            <rFont val="Arial"/>
            <family val="2"/>
          </rPr>
          <t xml:space="preserve">[Ch03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19].</t>
        </r>
      </text>
    </comment>
    <comment ref="C55" authorId="0" shapeId="0" xr:uid="{00000000-0006-0000-0B00-00000B000000}">
      <text>
        <r>
          <rPr>
            <sz val="10"/>
            <rFont val="Arial"/>
            <family val="2"/>
          </rPr>
          <t xml:space="preserve">EPS = </t>
        </r>
        <r>
          <rPr>
            <sz val="10"/>
            <rFont val="Noto Sans CJK SC"/>
            <family val="2"/>
          </rPr>
          <t xml:space="preserve">지배주주순이익 </t>
        </r>
        <r>
          <rPr>
            <sz val="10"/>
            <rFont val="Arial"/>
            <family val="2"/>
          </rPr>
          <t xml:space="preserve">× 1,000 ÷ </t>
        </r>
        <r>
          <rPr>
            <sz val="10"/>
            <rFont val="Noto Sans CJK SC"/>
            <family val="2"/>
          </rPr>
          <t>유통주식수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원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>단위 환산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백만원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천주 → 원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에 주의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기본주당이익이며 희석효과는 무시합니다</t>
        </r>
        <r>
          <rPr>
            <sz val="10"/>
            <rFont val="Arial"/>
            <family val="2"/>
          </rPr>
          <t>.</t>
        </r>
      </text>
    </comment>
    <comment ref="C56" authorId="0" shapeId="0" xr:uid="{00000000-0006-0000-0B00-00000C000000}">
      <text>
        <r>
          <rPr>
            <sz val="10"/>
            <rFont val="Arial"/>
            <family val="2"/>
          </rPr>
          <t>PER</t>
        </r>
        <r>
          <rPr>
            <sz val="10"/>
            <rFont val="Noto Sans CJK SC"/>
            <family val="2"/>
          </rPr>
          <t>의 분모 선택지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직전 연도 </t>
        </r>
        <r>
          <rPr>
            <sz val="10"/>
            <rFont val="Arial"/>
            <family val="2"/>
          </rPr>
          <t>EPS(</t>
        </r>
        <r>
          <rPr>
            <sz val="10"/>
            <rFont val="Noto Sans CJK SC"/>
            <family val="2"/>
          </rPr>
          <t>후행</t>
        </r>
        <r>
          <rPr>
            <sz val="10"/>
            <rFont val="Arial"/>
            <family val="2"/>
          </rPr>
          <t>) / 3</t>
        </r>
        <r>
          <rPr>
            <sz val="10"/>
            <rFont val="Noto Sans CJK SC"/>
            <family val="2"/>
          </rPr>
          <t xml:space="preserve">개년 평균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애널리스트 예측치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선행</t>
        </r>
        <r>
          <rPr>
            <sz val="10"/>
            <rFont val="Arial"/>
            <family val="2"/>
          </rPr>
          <t>) [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19]. </t>
        </r>
        <r>
          <rPr>
            <sz val="10"/>
            <rFont val="Noto Sans CJK SC"/>
            <family val="2"/>
          </rPr>
          <t xml:space="preserve">적자 연도는 </t>
        </r>
        <r>
          <rPr>
            <sz val="10"/>
            <rFont val="Arial"/>
            <family val="2"/>
          </rPr>
          <t xml:space="preserve">PER </t>
        </r>
        <r>
          <rPr>
            <sz val="10"/>
            <rFont val="Noto Sans CJK SC"/>
            <family val="2"/>
          </rPr>
          <t xml:space="preserve">정의 불가 → </t>
        </r>
        <r>
          <rPr>
            <sz val="10"/>
            <rFont val="Arial"/>
            <family val="2"/>
          </rPr>
          <t>PSR</t>
        </r>
        <r>
          <rPr>
            <sz val="10"/>
            <rFont val="Noto Sans CJK SC"/>
            <family val="2"/>
          </rPr>
          <t>로 대체</t>
        </r>
        <r>
          <rPr>
            <sz val="10"/>
            <rFont val="Arial"/>
            <family val="2"/>
          </rPr>
          <t xml:space="preserve">.
─ </t>
        </r>
        <r>
          <rPr>
            <sz val="10"/>
            <rFont val="Noto Sans CJK SC"/>
            <family val="2"/>
          </rPr>
          <t xml:space="preserve">계산 근거 ─
후행 </t>
        </r>
        <r>
          <rPr>
            <sz val="10"/>
            <rFont val="Arial"/>
            <family val="2"/>
          </rPr>
          <t xml:space="preserve">PER = </t>
        </r>
        <r>
          <rPr>
            <sz val="10"/>
            <rFont val="Noto Sans CJK SC"/>
            <family val="2"/>
          </rPr>
          <t xml:space="preserve">종가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 xml:space="preserve">직전 회계연도 </t>
        </r>
        <r>
          <rPr>
            <sz val="10"/>
            <rFont val="Arial"/>
            <family val="2"/>
          </rPr>
          <t xml:space="preserve">EPS. </t>
        </r>
        <r>
          <rPr>
            <sz val="10"/>
            <rFont val="Noto Sans CJK SC"/>
            <family val="2"/>
          </rPr>
          <t>일회성 손익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소송 합의금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기술이전 수익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손상차손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 xml:space="preserve">이 큰 해의 </t>
        </r>
        <r>
          <rPr>
            <sz val="10"/>
            <rFont val="Arial"/>
            <family val="2"/>
          </rPr>
          <t>EPS</t>
        </r>
        <r>
          <rPr>
            <sz val="10"/>
            <rFont val="Noto Sans CJK SC"/>
            <family val="2"/>
          </rPr>
          <t xml:space="preserve">로 계산한 </t>
        </r>
        <r>
          <rPr>
            <sz val="10"/>
            <rFont val="Arial"/>
            <family val="2"/>
          </rPr>
          <t>PER</t>
        </r>
        <r>
          <rPr>
            <sz val="10"/>
            <rFont val="Noto Sans CJK SC"/>
            <family val="2"/>
          </rPr>
          <t xml:space="preserve">은 오독되기 쉬우므로 </t>
        </r>
        <r>
          <rPr>
            <sz val="10"/>
            <rFont val="Arial"/>
            <family val="2"/>
          </rPr>
          <t>3</t>
        </r>
        <r>
          <rPr>
            <sz val="10"/>
            <rFont val="Noto Sans CJK SC"/>
            <family val="2"/>
          </rPr>
          <t xml:space="preserve">개년 평균 </t>
        </r>
        <r>
          <rPr>
            <sz val="10"/>
            <rFont val="Arial"/>
            <family val="2"/>
          </rPr>
          <t xml:space="preserve">EPS </t>
        </r>
        <r>
          <rPr>
            <sz val="10"/>
            <rFont val="Noto Sans CJK SC"/>
            <family val="2"/>
          </rPr>
          <t>기준</t>
        </r>
        <r>
          <rPr>
            <sz val="10"/>
            <rFont val="Arial"/>
            <family val="2"/>
          </rPr>
          <t>(58</t>
        </r>
        <r>
          <rPr>
            <sz val="10"/>
            <rFont val="Noto Sans CJK SC"/>
            <family val="2"/>
          </rPr>
          <t>행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 xml:space="preserve">과 </t>
        </r>
        <r>
          <rPr>
            <sz val="10"/>
            <rFont val="Arial"/>
            <family val="2"/>
          </rPr>
          <t>PSR(57</t>
        </r>
        <r>
          <rPr>
            <sz val="10"/>
            <rFont val="Noto Sans CJK SC"/>
            <family val="2"/>
          </rPr>
          <t>행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 xml:space="preserve">을 함께 보세요 </t>
        </r>
        <r>
          <rPr>
            <sz val="10"/>
            <rFont val="Arial"/>
            <family val="2"/>
          </rPr>
          <t xml:space="preserve">[Ch03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19].</t>
        </r>
      </text>
    </comment>
    <comment ref="C57" authorId="0" shapeId="0" xr:uid="{00000000-0006-0000-0B00-00000D000000}">
      <text>
        <r>
          <rPr>
            <sz val="10"/>
            <rFont val="Arial"/>
            <family val="2"/>
          </rPr>
          <t xml:space="preserve">PSR = </t>
        </r>
        <r>
          <rPr>
            <sz val="10"/>
            <rFont val="Noto Sans CJK SC"/>
            <family val="2"/>
          </rPr>
          <t xml:space="preserve">시가총액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>매출액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매출은 이익보다 조작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변동이 적어 적자 기업이나 사이클 저점에서 대체 지표로 씁니다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단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마진 차이를 무시하므로 마진 구조가 비슷한 기업끼리만 비교 </t>
        </r>
        <r>
          <rPr>
            <sz val="10"/>
            <rFont val="Arial"/>
            <family val="2"/>
          </rPr>
          <t xml:space="preserve">[Ch03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19].</t>
        </r>
      </text>
    </comment>
    <comment ref="C58" authorId="0" shapeId="0" xr:uid="{00000000-0006-0000-0B00-00000E000000}">
      <text>
        <r>
          <rPr>
            <sz val="10"/>
            <rFont val="Noto Sans CJK SC"/>
            <family val="2"/>
          </rPr>
          <t xml:space="preserve">평균 </t>
        </r>
        <r>
          <rPr>
            <sz val="10"/>
            <rFont val="Arial"/>
            <family val="2"/>
          </rPr>
          <t xml:space="preserve">PER = </t>
        </r>
        <r>
          <rPr>
            <sz val="10"/>
            <rFont val="Noto Sans CJK SC"/>
            <family val="2"/>
          </rPr>
          <t xml:space="preserve">종가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 xml:space="preserve">최근 </t>
        </r>
        <r>
          <rPr>
            <sz val="10"/>
            <rFont val="Arial"/>
            <family val="2"/>
          </rPr>
          <t>3</t>
        </r>
        <r>
          <rPr>
            <sz val="10"/>
            <rFont val="Noto Sans CJK SC"/>
            <family val="2"/>
          </rPr>
          <t xml:space="preserve">개년 평균 </t>
        </r>
        <r>
          <rPr>
            <sz val="10"/>
            <rFont val="Arial"/>
            <family val="2"/>
          </rPr>
          <t xml:space="preserve">EPS. </t>
        </r>
        <r>
          <rPr>
            <sz val="10"/>
            <rFont val="Noto Sans CJK SC"/>
            <family val="2"/>
          </rPr>
          <t>일시적 이익 변동을 평활화</t>
        </r>
        <r>
          <rPr>
            <sz val="10"/>
            <rFont val="Arial"/>
            <family val="2"/>
          </rPr>
          <t>(Graham</t>
        </r>
        <r>
          <rPr>
            <sz val="10"/>
            <rFont val="Noto Sans CJK SC"/>
            <family val="2"/>
          </rPr>
          <t xml:space="preserve">식 정규화 </t>
        </r>
        <r>
          <rPr>
            <sz val="10"/>
            <rFont val="Arial"/>
            <family val="2"/>
          </rPr>
          <t xml:space="preserve">PER). </t>
        </r>
        <r>
          <rPr>
            <sz val="10"/>
            <rFont val="Noto Sans CJK SC"/>
            <family val="2"/>
          </rPr>
          <t xml:space="preserve">사이클 기업에 후행 </t>
        </r>
        <r>
          <rPr>
            <sz val="10"/>
            <rFont val="Arial"/>
            <family val="2"/>
          </rPr>
          <t>PER</t>
        </r>
        <r>
          <rPr>
            <sz val="10"/>
            <rFont val="Noto Sans CJK SC"/>
            <family val="2"/>
          </rPr>
          <t>보다 적합합니다</t>
        </r>
        <r>
          <rPr>
            <sz val="10"/>
            <rFont val="Arial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<sst xmlns="http://schemas.openxmlformats.org/spreadsheetml/2006/main" count="633" uniqueCount="478">
  <si>
    <t>■ 셀 색상 규칙</t>
  </si>
  <si>
    <t>표시</t>
  </si>
  <si>
    <t>의미</t>
  </si>
  <si>
    <t>여러분이 직접 입력·조사해서 채우는 칸입니다.</t>
  </si>
  <si>
    <t>파란색 글씨 + 연주황 배경</t>
  </si>
  <si>
    <t>여러분이 세우는 '가정' 값입니다. 이 칸을 바꾸면 결과가 함께 움직여야 합니다.</t>
  </si>
  <si>
    <t>파란색 글씨 + 회색 배경</t>
  </si>
  <si>
    <t>작성 형식을 보여주는 예시 또는 주어진 자료입니다. 고치지 마세요.</t>
  </si>
  <si>
    <t>검정색 글씨</t>
  </si>
  <si>
    <t>수식이 들어갈 칸입니다. 값을 직접 타이핑하면 안 됩니다.</t>
  </si>
  <si>
    <t>빨간색 글씨</t>
  </si>
  <si>
    <t>검증용 칸입니다. 'OK'가 뜨는지 반드시 확인하세요.</t>
  </si>
  <si>
    <t>■ 시트 구성 및 진행 순서</t>
  </si>
  <si>
    <t>시트</t>
  </si>
  <si>
    <t>할 일</t>
  </si>
  <si>
    <t>대상기업의 애널리스트 보고서(기준년도의 재무 데이터를 반영한 보고서)를 첨부·요약합니다.</t>
  </si>
  <si>
    <t>대상기업의 최근 신용평가 보고서(기준년도의 재무 데이터를 반영한 보고서)를 첨부·요약합니다.</t>
  </si>
  <si>
    <t>■ 유의사항</t>
  </si>
  <si>
    <t>•</t>
  </si>
  <si>
    <t>금액 단위는 백만원, 주가는 원, 주식수는 천주(2-3 시트)로 통일합니다. 사업보고서·DataGuide 원문 단위(원, 천원)와 다를 수 있으니 옮겨 적을 때 반드시 확인하세요.</t>
  </si>
  <si>
    <t>출처(사업보고서 페이지, URL, 조회일자)를 각 표의 '출처' 칸에 남겨두면 기말 보고서를 쓸 때 다시 찾는 수고를 덜 수 있습니다.</t>
  </si>
  <si>
    <t>시트 곳곳의 셀 메모(빨간 삼각형)에는 해당 개념이 강의노트 어느 장·어느 슬라이드에 나오는지 적어 두었습니다. "지금 이걸 왜 하는가"가 궁금하면 2-0 시트와 메모를 먼저 보세요.</t>
  </si>
  <si>
    <r>
      <rPr>
        <b/>
        <sz val="16"/>
        <color rgb="FF1F3864"/>
        <rFont val="맑은 고딕"/>
        <family val="3"/>
        <charset val="129"/>
      </rPr>
      <t>[</t>
    </r>
    <r>
      <rPr>
        <b/>
        <sz val="16"/>
        <color rgb="FF1F3864"/>
        <rFont val="Noto Sans CJK SC"/>
        <family val="2"/>
      </rPr>
      <t>과제 ①</t>
    </r>
    <r>
      <rPr>
        <b/>
        <sz val="16"/>
        <color rgb="FF1F3864"/>
        <rFont val="맑은 고딕"/>
        <family val="3"/>
        <charset val="129"/>
      </rPr>
      <t xml:space="preserve">] </t>
    </r>
    <r>
      <rPr>
        <b/>
        <sz val="16"/>
        <color rgb="FF1F3864"/>
        <rFont val="Noto Sans CJK SC"/>
        <family val="2"/>
      </rPr>
      <t xml:space="preserve">분석 대상기업 </t>
    </r>
    <r>
      <rPr>
        <b/>
        <sz val="16"/>
        <color rgb="FF1F3864"/>
        <rFont val="맑은 고딕"/>
        <family val="3"/>
        <charset val="129"/>
      </rPr>
      <t xml:space="preserve">· </t>
    </r>
    <r>
      <rPr>
        <b/>
        <sz val="16"/>
        <color rgb="FF1F3864"/>
        <rFont val="Noto Sans CJK SC"/>
        <family val="2"/>
      </rPr>
      <t>비교기업 선정</t>
    </r>
  </si>
  <si>
    <r>
      <rPr>
        <sz val="9"/>
        <color rgb="FF808080"/>
        <rFont val="맑은 고딕"/>
        <family val="3"/>
        <charset val="129"/>
      </rPr>
      <t xml:space="preserve">DART(dart.fss.or.kr) </t>
    </r>
    <r>
      <rPr>
        <sz val="9"/>
        <color rgb="FF808080"/>
        <rFont val="Noto Sans CJK SC"/>
        <family val="2"/>
      </rPr>
      <t xml:space="preserve">최근연도 사업보고서 → </t>
    </r>
    <r>
      <rPr>
        <sz val="9"/>
        <color rgb="FF808080"/>
        <rFont val="맑은 고딕"/>
        <family val="3"/>
        <charset val="129"/>
      </rPr>
      <t xml:space="preserve">'II. </t>
    </r>
    <r>
      <rPr>
        <sz val="9"/>
        <color rgb="FF808080"/>
        <rFont val="Noto Sans CJK SC"/>
        <family val="2"/>
      </rPr>
      <t>사업의 개요</t>
    </r>
    <r>
      <rPr>
        <sz val="9"/>
        <color rgb="FF808080"/>
        <rFont val="맑은 고딕"/>
        <family val="3"/>
        <charset val="129"/>
      </rPr>
      <t>'</t>
    </r>
    <r>
      <rPr>
        <sz val="9"/>
        <color rgb="FF808080"/>
        <rFont val="Noto Sans CJK SC"/>
        <family val="2"/>
      </rPr>
      <t>를 먼저 읽고 작성하세요</t>
    </r>
    <r>
      <rPr>
        <sz val="9"/>
        <color rgb="FF808080"/>
        <rFont val="맑은 고딕"/>
        <family val="3"/>
        <charset val="129"/>
      </rPr>
      <t>.</t>
    </r>
  </si>
  <si>
    <t>항목</t>
  </si>
  <si>
    <t>대상기업</t>
  </si>
  <si>
    <t>비교기업</t>
  </si>
  <si>
    <t>확인 방법 / 메모</t>
  </si>
  <si>
    <t>기업명</t>
  </si>
  <si>
    <t>사업보고서 표지</t>
  </si>
  <si>
    <t>종목코드</t>
  </si>
  <si>
    <r>
      <rPr>
        <sz val="11"/>
        <color rgb="FF808080"/>
        <rFont val="맑은 고딕"/>
        <family val="3"/>
        <charset val="129"/>
      </rPr>
      <t>6</t>
    </r>
    <r>
      <rPr>
        <sz val="11"/>
        <color rgb="FF808080"/>
        <rFont val="Noto Sans CJK SC"/>
        <family val="2"/>
      </rPr>
      <t>자리</t>
    </r>
    <r>
      <rPr>
        <sz val="11"/>
        <color rgb="FF808080"/>
        <rFont val="맑은 고딕"/>
        <family val="3"/>
        <charset val="129"/>
      </rPr>
      <t xml:space="preserve">. </t>
    </r>
    <r>
      <rPr>
        <sz val="11"/>
        <color rgb="FF808080"/>
        <rFont val="Noto Sans CJK SC"/>
        <family val="2"/>
      </rPr>
      <t>예</t>
    </r>
    <r>
      <rPr>
        <sz val="11"/>
        <color rgb="FF808080"/>
        <rFont val="맑은 고딕"/>
        <family val="3"/>
        <charset val="129"/>
      </rPr>
      <t>: 005930</t>
    </r>
  </si>
  <si>
    <t>상장시장</t>
  </si>
  <si>
    <t>KOSPI / KOSDAQ / KONEX</t>
  </si>
  <si>
    <t>상장일</t>
  </si>
  <si>
    <t>회사 개요 또는 KRX</t>
  </si>
  <si>
    <t>업종 (표준산업분류)</t>
  </si>
  <si>
    <t>사업보고서에 표준산업분류가 표기되어 있지 않습니다. DART 기업개황에서 확인해 채우세요.</t>
  </si>
  <si>
    <t>주요 제품·서비스</t>
  </si>
  <si>
    <r>
      <rPr>
        <sz val="11"/>
        <color rgb="FF808080"/>
        <rFont val="맑은 고딕"/>
        <family val="3"/>
        <charset val="129"/>
      </rPr>
      <t xml:space="preserve">'II. </t>
    </r>
    <r>
      <rPr>
        <sz val="11"/>
        <color rgb="FF808080"/>
        <rFont val="Noto Sans CJK SC"/>
        <family val="2"/>
      </rPr>
      <t>사업의 개요</t>
    </r>
    <r>
      <rPr>
        <sz val="11"/>
        <color rgb="FF808080"/>
        <rFont val="맑은 고딕"/>
        <family val="3"/>
        <charset val="129"/>
      </rPr>
      <t xml:space="preserve">' </t>
    </r>
    <r>
      <rPr>
        <sz val="11"/>
        <color rgb="FF808080"/>
        <rFont val="Noto Sans CJK SC"/>
        <family val="2"/>
      </rPr>
      <t>매출 구성</t>
    </r>
  </si>
  <si>
    <t>최근 사업연도</t>
  </si>
  <si>
    <t>예: 2025</t>
  </si>
  <si>
    <t>시가총액 (백만원)</t>
  </si>
  <si>
    <t>조회일 기준(stock.naver.com, DataGuide)</t>
  </si>
  <si>
    <t>발행주식수 (주)</t>
  </si>
  <si>
    <t>보통주 기준, 자기주식 포함. 메디톡스 자기주식 743,316주 · 휴젤 1,500,741주</t>
  </si>
  <si>
    <t>최근 종가 (원)</t>
  </si>
  <si>
    <t>조회일자 함께 기록</t>
  </si>
  <si>
    <t>최대주주 및 지분율</t>
  </si>
  <si>
    <r>
      <rPr>
        <sz val="11"/>
        <color rgb="FF808080"/>
        <rFont val="맑은 고딕"/>
        <family val="3"/>
        <charset val="129"/>
      </rPr>
      <t>'</t>
    </r>
    <r>
      <rPr>
        <sz val="11"/>
        <color rgb="FF808080"/>
        <rFont val="Noto Sans CJK SC"/>
        <family val="2"/>
      </rPr>
      <t>대주주 등에 관한 사항</t>
    </r>
    <r>
      <rPr>
        <sz val="11"/>
        <color rgb="FF808080"/>
        <rFont val="맑은 고딕"/>
        <family val="3"/>
        <charset val="129"/>
      </rPr>
      <t>'</t>
    </r>
  </si>
  <si>
    <t>대표이사</t>
  </si>
  <si>
    <r>
      <rPr>
        <sz val="11"/>
        <color rgb="FF808080"/>
        <rFont val="맑은 고딕"/>
        <family val="3"/>
        <charset val="129"/>
      </rPr>
      <t>'</t>
    </r>
    <r>
      <rPr>
        <sz val="11"/>
        <color rgb="FF808080"/>
        <rFont val="Noto Sans CJK SC"/>
        <family val="2"/>
      </rPr>
      <t>임원 및 직원 등에 관한 사항</t>
    </r>
    <r>
      <rPr>
        <sz val="11"/>
        <color rgb="FF808080"/>
        <rFont val="맑은 고딕"/>
        <family val="3"/>
        <charset val="129"/>
      </rPr>
      <t>'</t>
    </r>
  </si>
  <si>
    <t>외부감사인</t>
  </si>
  <si>
    <r>
      <rPr>
        <sz val="11"/>
        <color rgb="FF808080"/>
        <rFont val="맑은 고딕"/>
        <family val="3"/>
        <charset val="129"/>
      </rPr>
      <t>'</t>
    </r>
    <r>
      <rPr>
        <sz val="11"/>
        <color rgb="FF808080"/>
        <rFont val="Noto Sans CJK SC"/>
        <family val="2"/>
      </rPr>
      <t>감사인의 감사의견 등</t>
    </r>
    <r>
      <rPr>
        <sz val="11"/>
        <color rgb="FF808080"/>
        <rFont val="맑은 고딕"/>
        <family val="3"/>
        <charset val="129"/>
      </rPr>
      <t>'</t>
    </r>
  </si>
  <si>
    <t>감사의견</t>
  </si>
  <si>
    <t>적정 / 한정 / 부적정 / 의견거절</t>
  </si>
  <si>
    <t>사업보고서 URL</t>
  </si>
  <si>
    <r>
      <rPr>
        <sz val="11"/>
        <color rgb="FF808080"/>
        <rFont val="맑은 고딕"/>
        <family val="3"/>
        <charset val="129"/>
      </rPr>
      <t xml:space="preserve">DART </t>
    </r>
    <r>
      <rPr>
        <sz val="11"/>
        <color rgb="FF808080"/>
        <rFont val="Noto Sans CJK SC"/>
        <family val="2"/>
      </rPr>
      <t>문서 링크</t>
    </r>
  </si>
  <si>
    <t>자료 조회일자</t>
  </si>
  <si>
    <t>YYYY-MM-DD</t>
  </si>
  <si>
    <t>작성 예시 (참고용)</t>
  </si>
  <si>
    <t>삼성생명</t>
  </si>
  <si>
    <t>한화생명</t>
  </si>
  <si>
    <t>032830</t>
  </si>
  <si>
    <t>088350</t>
  </si>
  <si>
    <t>KOSPI</t>
  </si>
  <si>
    <t>보험업 (K65)</t>
  </si>
  <si>
    <t>16,800,000</t>
  </si>
  <si>
    <t>2,700,000</t>
  </si>
  <si>
    <t>※ 위 예시는 형식 안내용 숫자이며 실제 공시치가 아닙니다. 강의노트 1장의 삼성생명 사례에서 착안한 예시입니다.</t>
  </si>
  <si>
    <t>비교기업 선정 사유 (3~5줄)</t>
  </si>
  <si>
    <r>
      <rPr>
        <b/>
        <sz val="16"/>
        <color rgb="FF1F3864"/>
        <rFont val="맑은 고딕"/>
        <family val="3"/>
        <charset val="129"/>
      </rPr>
      <t>[</t>
    </r>
    <r>
      <rPr>
        <b/>
        <sz val="16"/>
        <color rgb="FF1F3864"/>
        <rFont val="Noto Sans CJK SC"/>
        <family val="2"/>
      </rPr>
      <t>과제 ②</t>
    </r>
    <r>
      <rPr>
        <b/>
        <sz val="16"/>
        <color rgb="FF1F3864"/>
        <rFont val="맑은 고딕"/>
        <family val="3"/>
        <charset val="129"/>
      </rPr>
      <t xml:space="preserve">] Chapter Report </t>
    </r>
    <r>
      <rPr>
        <b/>
        <sz val="16"/>
        <color rgb="FF1F3864"/>
        <rFont val="Noto Sans CJK SC"/>
        <family val="2"/>
      </rPr>
      <t>작성용 기업개요 비교</t>
    </r>
  </si>
  <si>
    <t>본 장의 과제는 2장 분량의 Chapter Report입니다. 아래 항목이 보고서 목차가 됩니다. 여러분은 증권사 애널리스트입니다.</t>
  </si>
  <si>
    <t>보고서 항목</t>
  </si>
  <si>
    <t>산업 개요 및 시장규모</t>
  </si>
  <si>
    <t>산업 내 경쟁현황 (주요 경쟁사·점유율)</t>
  </si>
  <si>
    <t>주요 제조상품 / 서비스</t>
  </si>
  <si>
    <t>매출 구성 (제품별·지역별 비중)</t>
  </si>
  <si>
    <t>기업지배구조 (지분구조·이사회)</t>
  </si>
  <si>
    <t>경영자 (대표이사 이력·경영전략)</t>
  </si>
  <si>
    <t>회계감사인 및 감사의견</t>
  </si>
  <si>
    <t>최근 3년 주요 이슈 (M&amp;A, 소송, 규제 등)</t>
  </si>
  <si>
    <t>투자포인트 (강점)</t>
  </si>
  <si>
    <t>투자위험 (약점·리스크)</t>
  </si>
  <si>
    <t>출처 기록</t>
  </si>
  <si>
    <t>구분</t>
  </si>
  <si>
    <t>출처 (문서명 · 페이지 · URL)</t>
  </si>
  <si>
    <t>조회일자</t>
  </si>
  <si>
    <t>대상기업 사업보고서</t>
  </si>
  <si>
    <t>비교기업 사업보고서</t>
  </si>
  <si>
    <t>산업 통계·협회 자료</t>
  </si>
  <si>
    <t>증권사 리포트</t>
  </si>
  <si>
    <t>기타</t>
  </si>
  <si>
    <r>
      <rPr>
        <b/>
        <sz val="16"/>
        <color rgb="FF1F3864"/>
        <rFont val="맑은 고딕"/>
        <family val="3"/>
        <charset val="129"/>
      </rPr>
      <t>[</t>
    </r>
    <r>
      <rPr>
        <b/>
        <sz val="16"/>
        <color rgb="FF1F3864"/>
        <rFont val="Noto Sans CJK SC"/>
        <family val="2"/>
      </rPr>
      <t>과제 ③</t>
    </r>
    <r>
      <rPr>
        <b/>
        <sz val="16"/>
        <color rgb="FF1F3864"/>
        <rFont val="맑은 고딕"/>
        <family val="3"/>
        <charset val="129"/>
      </rPr>
      <t xml:space="preserve">] </t>
    </r>
    <r>
      <rPr>
        <b/>
        <sz val="16"/>
        <color rgb="FF1F3864"/>
        <rFont val="Noto Sans CJK SC"/>
        <family val="2"/>
      </rPr>
      <t>월별 주가 변동추이와 시장대표지수</t>
    </r>
    <r>
      <rPr>
        <b/>
        <sz val="16"/>
        <color rgb="FF1F3864"/>
        <rFont val="맑은 고딕"/>
        <family val="3"/>
        <charset val="129"/>
      </rPr>
      <t xml:space="preserve">(KOSPI) </t>
    </r>
    <r>
      <rPr>
        <b/>
        <sz val="16"/>
        <color rgb="FF1F3864"/>
        <rFont val="Noto Sans CJK SC"/>
        <family val="2"/>
      </rPr>
      <t xml:space="preserve">비교 </t>
    </r>
    <r>
      <rPr>
        <b/>
        <sz val="16"/>
        <color rgb="FF1F3864"/>
        <rFont val="맑은 고딕"/>
        <family val="3"/>
        <charset val="129"/>
      </rPr>
      <t>(60</t>
    </r>
    <r>
      <rPr>
        <b/>
        <sz val="16"/>
        <color rgb="FF1F3864"/>
        <rFont val="Noto Sans CJK SC"/>
        <family val="2"/>
      </rPr>
      <t>개월</t>
    </r>
    <r>
      <rPr>
        <b/>
        <sz val="16"/>
        <color rgb="FF1F3864"/>
        <rFont val="맑은 고딕"/>
        <family val="3"/>
        <charset val="129"/>
      </rPr>
      <t>)</t>
    </r>
  </si>
  <si>
    <t>월말 종가 기준, 배당 미고려. 연도별(결산일) 주가와 PBR은 2-4 시트에서 다루므로 이 시트는 월별 흐름과 시장 대비 성과에 집중합니다.</t>
  </si>
  <si>
    <t>작성 예시 (형식 참고용 · 지우지 마세요)</t>
  </si>
  <si>
    <t>연월</t>
  </si>
  <si>
    <t>대상기업
종가(원)</t>
  </si>
  <si>
    <t>비교기업
종가(원)</t>
  </si>
  <si>
    <t>대상
월수익률</t>
  </si>
  <si>
    <t>비교
월수익률</t>
  </si>
  <si>
    <r>
      <rPr>
        <b/>
        <sz val="10"/>
        <color rgb="FFFFFFFF"/>
        <rFont val="맑은 고딕"/>
        <family val="3"/>
        <charset val="129"/>
      </rPr>
      <t xml:space="preserve">KOSPI
</t>
    </r>
    <r>
      <rPr>
        <b/>
        <sz val="10"/>
        <color rgb="FFFFFFFF"/>
        <rFont val="Noto Sans CJK SC"/>
        <family val="2"/>
      </rPr>
      <t>월수익률</t>
    </r>
  </si>
  <si>
    <t>2020-10</t>
  </si>
  <si>
    <t>-</t>
  </si>
  <si>
    <t>2020-11</t>
  </si>
  <si>
    <t>2020-12</t>
  </si>
  <si>
    <t>※ 월수익률 = 당월 종가 ÷ 전월 종가 − 1. 첫 행은 전월 자료가 없으므로 비워 둡니다.</t>
  </si>
  <si>
    <t>■ 실습표 : 최근 5년(60개월) 월별 자료</t>
  </si>
  <si>
    <t>대상
지수(100)</t>
  </si>
  <si>
    <t>비교
지수(100)</t>
  </si>
  <si>
    <r>
      <rPr>
        <b/>
        <sz val="10"/>
        <color rgb="FFFFFFFF"/>
        <rFont val="맑은 고딕"/>
        <family val="3"/>
        <charset val="129"/>
      </rPr>
      <t xml:space="preserve">KOSPI
</t>
    </r>
    <r>
      <rPr>
        <b/>
        <sz val="10"/>
        <color rgb="FFFFFFFF"/>
        <rFont val="Noto Sans CJK SC"/>
        <family val="2"/>
      </rPr>
      <t>지수</t>
    </r>
    <r>
      <rPr>
        <b/>
        <sz val="10"/>
        <color rgb="FFFFFFFF"/>
        <rFont val="맑은 고딕"/>
        <family val="3"/>
        <charset val="129"/>
      </rPr>
      <t>(100)</t>
    </r>
  </si>
  <si>
    <t>↑ 회색 아닌 흰 칸(월수익률·지수)은 비어 있습니다. 첫 3행의 수식을 확인한 뒤 60행까지 복사해 채우세요.</t>
  </si>
  <si>
    <t>2021-01</t>
  </si>
  <si>
    <t>주가: DataGuide 일별종가 중 각 월 마지막 거래일 종가 사용 가능</t>
  </si>
  <si>
    <t>2021-02</t>
  </si>
  <si>
    <t>지수(100) = 전월 지수 × (1 + 당월 수익률). 시작 시점을 100으로 맞춰야 세 계열을 같은 출발선에서 비교할 수 있습니다.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</si>
  <si>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</si>
  <si>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</si>
  <si>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</si>
  <si>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</si>
  <si>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</si>
  <si>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</si>
  <si>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</si>
  <si>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</si>
  <si>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</si>
  <si>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</si>
  <si>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</si>
  <si>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</si>
  <si>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</si>
  <si>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</si>
  <si>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</si>
  <si>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</si>
  <si>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</si>
  <si>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</si>
  <si>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</si>
  <si>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</si>
  <si>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</si>
  <si>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</si>
  <si>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</si>
  <si>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</si>
  <si>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</si>
  <si>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</si>
  <si>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</si>
  <si>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</si>
  <si>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</si>
  <si>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</si>
  <si>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</si>
  <si>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</si>
  <si>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</si>
  <si>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</si>
  <si>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</si>
  <si>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</si>
  <si>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</si>
  <si>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</si>
  <si>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</si>
  <si>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</si>
  <si>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</si>
  <si>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</si>
  <si>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</si>
  <si>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</si>
  <si>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</si>
  <si>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</si>
  <si>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</si>
  <si>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</si>
  <si>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</si>
  <si>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</si>
  <si>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</si>
  <si>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</si>
  <si>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</si>
  <si>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</si>
  <si>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</si>
  <si>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</si>
  <si>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</si>
  <si>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</si>
  <si>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해석 (5줄 내외) : 대상기업 주가는 시장 대비 어떠했는가? 그 원인은?</t>
  </si>
  <si>
    <r>
      <rPr>
        <b/>
        <sz val="16"/>
        <color rgb="FF1F3864"/>
        <rFont val="맑은 고딕"/>
        <family val="3"/>
        <charset val="129"/>
      </rPr>
      <t>[</t>
    </r>
    <r>
      <rPr>
        <b/>
        <sz val="16"/>
        <color rgb="FF1F3864"/>
        <rFont val="Noto Sans CJK SC"/>
        <family val="2"/>
      </rPr>
      <t>과제 ⑤</t>
    </r>
    <r>
      <rPr>
        <b/>
        <sz val="16"/>
        <color rgb="FF1F3864"/>
        <rFont val="맑은 고딕"/>
        <family val="3"/>
        <charset val="129"/>
      </rPr>
      <t xml:space="preserve">] </t>
    </r>
    <r>
      <rPr>
        <b/>
        <sz val="16"/>
        <color rgb="FF1F3864"/>
        <rFont val="Noto Sans CJK SC"/>
        <family val="2"/>
      </rPr>
      <t xml:space="preserve">증권사 애널리스트 보고서 </t>
    </r>
    <r>
      <rPr>
        <b/>
        <sz val="16"/>
        <color rgb="FF1F3864"/>
        <rFont val="맑은 고딕"/>
        <family val="3"/>
        <charset val="129"/>
      </rPr>
      <t xml:space="preserve">vs </t>
    </r>
    <r>
      <rPr>
        <b/>
        <sz val="16"/>
        <color rgb="FF1F3864"/>
        <rFont val="Noto Sans CJK SC"/>
        <family val="2"/>
      </rPr>
      <t>신용평가기관 보고서</t>
    </r>
  </si>
  <si>
    <t>한국신용평가 www.kisrating.com · 증권사 리포트는 각 사 홈페이지 또는 네이버 증권 리서치</t>
  </si>
  <si>
    <t>비교 항목</t>
  </si>
  <si>
    <t>증권사 애널리스트 보고서</t>
  </si>
  <si>
    <t>신용평가기관 보고서</t>
  </si>
  <si>
    <t>보고서 제목 · 발행기관 · 발행일</t>
  </si>
  <si>
    <t>주된 이용자 (누구를 위해 쓰였는가)</t>
  </si>
  <si>
    <t>분석의 초점 (수익성 / 상환능력)</t>
  </si>
  <si>
    <t>결론의 형태 (투자의견·목표주가 / 신용등급)</t>
  </si>
  <si>
    <t>예측 기간</t>
  </si>
  <si>
    <t>중점적으로 본 재무지표</t>
  </si>
  <si>
    <t>비재무정보 활용 정도</t>
  </si>
  <si>
    <t>낙관/보수 정도에 대한 인상</t>
  </si>
  <si>
    <t>왜 두 보고서의 결론이 다른가? (10줄 내외)</t>
  </si>
  <si>
    <t>애널리스트 보고서 첨부 · 요약</t>
  </si>
  <si>
    <r>
      <rPr>
        <sz val="9"/>
        <color rgb="FF808080"/>
        <rFont val="맑은 고딕"/>
        <family val="2"/>
        <charset val="129"/>
      </rPr>
      <t xml:space="preserve"> PDF </t>
    </r>
    <r>
      <rPr>
        <sz val="9"/>
        <color rgb="FF808080"/>
        <rFont val="Noto Sans CJK SC"/>
        <family val="2"/>
      </rPr>
      <t>원문을 이 시트에 개체 삽입하거나 핵심 표</t>
    </r>
    <r>
      <rPr>
        <sz val="9"/>
        <color rgb="FF808080"/>
        <rFont val="맑은 고딕"/>
        <family val="2"/>
        <charset val="129"/>
      </rPr>
      <t>(</t>
    </r>
    <r>
      <rPr>
        <sz val="9"/>
        <color rgb="FF808080"/>
        <rFont val="Noto Sans CJK SC"/>
        <family val="2"/>
      </rPr>
      <t>실적 추정</t>
    </r>
    <r>
      <rPr>
        <sz val="9"/>
        <color rgb="FF808080"/>
        <rFont val="맑은 고딕"/>
        <family val="2"/>
        <charset val="129"/>
      </rPr>
      <t>·</t>
    </r>
    <r>
      <rPr>
        <sz val="9"/>
        <color rgb="FF808080"/>
        <rFont val="Noto Sans CJK SC"/>
        <family val="2"/>
      </rPr>
      <t>목표주가</t>
    </r>
    <r>
      <rPr>
        <sz val="9"/>
        <color rgb="FF808080"/>
        <rFont val="맑은 고딕"/>
        <family val="2"/>
        <charset val="129"/>
      </rPr>
      <t xml:space="preserve">·P/B </t>
    </r>
    <r>
      <rPr>
        <sz val="9"/>
        <color rgb="FF808080"/>
        <rFont val="Noto Sans CJK SC"/>
        <family val="2"/>
      </rPr>
      <t>밴드</t>
    </r>
    <r>
      <rPr>
        <sz val="9"/>
        <color rgb="FF808080"/>
        <rFont val="맑은 고딕"/>
        <family val="2"/>
        <charset val="129"/>
      </rPr>
      <t>)</t>
    </r>
    <r>
      <rPr>
        <sz val="9"/>
        <color rgb="FF808080"/>
        <rFont val="Noto Sans CJK SC"/>
        <family val="2"/>
      </rPr>
      <t>를 옮겨 적으세요</t>
    </r>
    <r>
      <rPr>
        <sz val="9"/>
        <color rgb="FF808080"/>
        <rFont val="맑은 고딕"/>
        <family val="2"/>
        <charset val="129"/>
      </rPr>
      <t>.</t>
    </r>
  </si>
  <si>
    <t>신용평가 보고서 첨부 · 요약</t>
  </si>
  <si>
    <r>
      <rPr>
        <sz val="9"/>
        <color rgb="FF808080"/>
        <rFont val="맑은 고딕"/>
        <family val="2"/>
        <charset val="1"/>
      </rPr>
      <t xml:space="preserve"> PDF </t>
    </r>
    <r>
      <rPr>
        <sz val="9"/>
        <color rgb="FF808080"/>
        <rFont val="Noto Sans CJK SC"/>
        <family val="2"/>
      </rPr>
      <t>원문을 개체 삽입하거나 주요 재무지표</t>
    </r>
    <r>
      <rPr>
        <sz val="9"/>
        <color rgb="FF808080"/>
        <rFont val="맑은 고딕"/>
        <family val="2"/>
        <charset val="1"/>
      </rPr>
      <t>·</t>
    </r>
    <r>
      <rPr>
        <sz val="9"/>
        <color rgb="FF808080"/>
        <rFont val="Noto Sans CJK SC"/>
        <family val="2"/>
      </rPr>
      <t>등급논리를 옮겨 적으세요</t>
    </r>
    <r>
      <rPr>
        <sz val="9"/>
        <color rgb="FF808080"/>
        <rFont val="맑은 고딕"/>
        <family val="2"/>
        <charset val="1"/>
      </rPr>
      <t>.</t>
    </r>
  </si>
  <si>
    <t>왜 이 실습을 하는가 —  실습이 11장 가치평가로 이어지는 길 (강의노트 슬라이드 참조)</t>
  </si>
  <si>
    <t>가치평가 모형은 11장에서 배우지만, 지금 하는 재무상태표 분석이 그 모형의 "출발점"이 됩니다. 각 시트가 이후 어느 장의 무엇에 쓰이는지 미리 보여줍니다. [Chxx 슬라이드 n] 표기는 해당 장 강의노트의 슬라이드 번호입니다.</t>
  </si>
  <si>
    <t>■ 이 과목의 한 줄 공식</t>
  </si>
  <si>
    <t>가치 V₀ = Σ CFₜ ÷ (1 + r)ᵗ  — 2장에서 처음 등장[Ch02 슬라이드 8]하고, 7장이 분모 r(할인율)을, 10장이 분자 CF(예측)를 만들며, 11장에서 둘을 결합합니다[Ch11 슬라이드 21]. 재무상태표는 이 공식의 출발점입니다: "재무상태표를 보고 가치를 평가하는 것은 기업가치평가의 출발점"[Ch02 슬라이드 7].</t>
  </si>
  <si>
    <t>■ 시트별 로드맵: 지금 하는 일 → 나중에 쓰이는 곳 → 실무에서는</t>
  </si>
  <si>
    <t>작업</t>
  </si>
  <si>
    <t>나중에 어디에 쓰이는가 (장·슬라이드)</t>
  </si>
  <si>
    <t>가치평가에서의 역할</t>
  </si>
  <si>
    <t>실무적 적용</t>
  </si>
  <si>
    <r>
      <rPr>
        <b/>
        <sz val="11"/>
        <color rgb="FF000000"/>
        <rFont val="맑은 고딕"/>
        <family val="3"/>
        <charset val="129"/>
      </rPr>
      <t xml:space="preserve">1-1 </t>
    </r>
    <r>
      <rPr>
        <b/>
        <sz val="11"/>
        <color rgb="FF000000"/>
        <rFont val="Noto Sans CJK SC"/>
        <family val="2"/>
      </rPr>
      <t xml:space="preserve">기업선정
</t>
    </r>
    <r>
      <rPr>
        <b/>
        <sz val="11"/>
        <color rgb="FF000000"/>
        <rFont val="맑은 고딕"/>
        <family val="3"/>
        <charset val="129"/>
      </rPr>
      <t xml:space="preserve">1-2 </t>
    </r>
    <r>
      <rPr>
        <b/>
        <sz val="11"/>
        <color rgb="FF000000"/>
        <rFont val="Noto Sans CJK SC"/>
        <family val="2"/>
      </rPr>
      <t>기업개요비교</t>
    </r>
  </si>
  <si>
    <t>대상·비교기업을 고르고 사업·지배구조·감사인을 정리한다.</t>
  </si>
  <si>
    <r>
      <rPr>
        <sz val="11"/>
        <color rgb="FF000000"/>
        <rFont val="맑은 고딕"/>
        <family val="3"/>
        <charset val="129"/>
      </rPr>
      <t>3</t>
    </r>
    <r>
      <rPr>
        <sz val="11"/>
        <color rgb="FF000000"/>
        <rFont val="Noto Sans CJK SC"/>
        <family val="2"/>
      </rPr>
      <t xml:space="preserve">장 횡단면분석의 전제 </t>
    </r>
    <r>
      <rPr>
        <sz val="11"/>
        <color rgb="FF000000"/>
        <rFont val="맑은 고딕"/>
        <family val="3"/>
        <charset val="129"/>
      </rPr>
      <t>"</t>
    </r>
    <r>
      <rPr>
        <sz val="11"/>
        <color rgb="FF000000"/>
        <rFont val="Noto Sans CJK SC"/>
        <family val="2"/>
      </rPr>
      <t>동종업계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Noto Sans CJK SC"/>
        <family val="2"/>
      </rPr>
      <t>유사 규모</t>
    </r>
    <r>
      <rPr>
        <sz val="11"/>
        <color rgb="FF000000"/>
        <rFont val="맑은 고딕"/>
        <family val="3"/>
        <charset val="129"/>
      </rPr>
      <t xml:space="preserve">"[Ch03 </t>
    </r>
    <r>
      <rPr>
        <sz val="11"/>
        <color rgb="FF000000"/>
        <rFont val="Noto Sans CJK SC"/>
        <family val="2"/>
      </rPr>
      <t xml:space="preserve">슬라이드 </t>
    </r>
    <r>
      <rPr>
        <sz val="11"/>
        <color rgb="FF000000"/>
        <rFont val="맑은 고딕"/>
        <family val="3"/>
        <charset val="129"/>
      </rPr>
      <t>18] · 5</t>
    </r>
    <r>
      <rPr>
        <sz val="11"/>
        <color rgb="FF000000"/>
        <rFont val="Noto Sans CJK SC"/>
        <family val="2"/>
      </rPr>
      <t>장 산업평균 비교의 함정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공상은행</t>
    </r>
    <r>
      <rPr>
        <sz val="11"/>
        <color rgb="FF000000"/>
        <rFont val="맑은 고딕"/>
        <family val="3"/>
        <charset val="129"/>
      </rPr>
      <t xml:space="preserve">)[Ch05 </t>
    </r>
    <r>
      <rPr>
        <sz val="11"/>
        <color rgb="FF000000"/>
        <rFont val="Noto Sans CJK SC"/>
        <family val="2"/>
      </rPr>
      <t xml:space="preserve">슬라이드 </t>
    </r>
    <r>
      <rPr>
        <sz val="11"/>
        <color rgb="FF000000"/>
        <rFont val="맑은 고딕"/>
        <family val="3"/>
        <charset val="129"/>
      </rPr>
      <t>15] · 11</t>
    </r>
    <r>
      <rPr>
        <sz val="11"/>
        <color rgb="FF000000"/>
        <rFont val="Noto Sans CJK SC"/>
        <family val="2"/>
      </rPr>
      <t>장 상대가치의 비교기업 선정 기준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자산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Noto Sans CJK SC"/>
        <family val="2"/>
      </rPr>
      <t>매출 규모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>산업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>부채비율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>발전단계</t>
    </r>
    <r>
      <rPr>
        <sz val="11"/>
        <color rgb="FF000000"/>
        <rFont val="맑은 고딕"/>
        <family val="3"/>
        <charset val="129"/>
      </rPr>
      <t xml:space="preserve">)[Ch11 </t>
    </r>
    <r>
      <rPr>
        <sz val="11"/>
        <color rgb="FF000000"/>
        <rFont val="Noto Sans CJK SC"/>
        <family val="2"/>
      </rPr>
      <t xml:space="preserve">슬라이드 </t>
    </r>
    <r>
      <rPr>
        <sz val="11"/>
        <color rgb="FF000000"/>
        <rFont val="맑은 고딕"/>
        <family val="3"/>
        <charset val="129"/>
      </rPr>
      <t xml:space="preserve">15 </t>
    </r>
    <r>
      <rPr>
        <sz val="11"/>
        <color rgb="FF000000"/>
        <rFont val="Noto Sans CJK SC"/>
        <family val="2"/>
      </rPr>
      <t>노트</t>
    </r>
    <r>
      <rPr>
        <sz val="11"/>
        <color rgb="FF000000"/>
        <rFont val="맑은 고딕"/>
        <family val="3"/>
        <charset val="129"/>
      </rPr>
      <t>]</t>
    </r>
  </si>
  <si>
    <t>비교기업이 부적절하면 이후 모든 횡단면 비교(ROE 격차, PBR 배수)가 회계 차이인지 사업 차이인지 구분할 수 없다.</t>
  </si>
  <si>
    <r>
      <rPr>
        <sz val="11"/>
        <color rgb="FF000000"/>
        <rFont val="맑은 고딕"/>
        <family val="3"/>
        <charset val="129"/>
      </rPr>
      <t>"1</t>
    </r>
    <r>
      <rPr>
        <sz val="11"/>
        <color rgb="FF000000"/>
        <rFont val="Noto Sans CJK SC"/>
        <family val="2"/>
      </rPr>
      <t>장에서 고른 비교기업이 지금도 적절한가</t>
    </r>
    <r>
      <rPr>
        <sz val="11"/>
        <color rgb="FF000000"/>
        <rFont val="맑은 고딕"/>
        <family val="3"/>
        <charset val="129"/>
      </rPr>
      <t>"</t>
    </r>
    <r>
      <rPr>
        <sz val="11"/>
        <color rgb="FF000000"/>
        <rFont val="Noto Sans CJK SC"/>
        <family val="2"/>
      </rPr>
      <t>를 매 장마다 다시 묻는다</t>
    </r>
    <r>
      <rPr>
        <sz val="11"/>
        <color rgb="FF000000"/>
        <rFont val="맑은 고딕"/>
        <family val="3"/>
        <charset val="129"/>
      </rPr>
      <t xml:space="preserve">[Ch03 </t>
    </r>
    <r>
      <rPr>
        <sz val="11"/>
        <color rgb="FF000000"/>
        <rFont val="Noto Sans CJK SC"/>
        <family val="2"/>
      </rPr>
      <t xml:space="preserve">슬라이드 </t>
    </r>
    <r>
      <rPr>
        <sz val="11"/>
        <color rgb="FF000000"/>
        <rFont val="맑은 고딕"/>
        <family val="3"/>
        <charset val="129"/>
      </rPr>
      <t xml:space="preserve">18]. </t>
    </r>
    <r>
      <rPr>
        <sz val="11"/>
        <color rgb="FF000000"/>
        <rFont val="Noto Sans CJK SC"/>
        <family val="2"/>
      </rPr>
      <t xml:space="preserve">규모가 크게 다르면 </t>
    </r>
    <r>
      <rPr>
        <sz val="11"/>
        <color rgb="FF000000"/>
        <rFont val="맑은 고딕"/>
        <family val="3"/>
        <charset val="129"/>
      </rPr>
      <t>peer</t>
    </r>
    <r>
      <rPr>
        <sz val="11"/>
        <color rgb="FF000000"/>
        <rFont val="Noto Sans CJK SC"/>
        <family val="2"/>
      </rPr>
      <t>를 좁히거나 중위값을 쓴다</t>
    </r>
    <r>
      <rPr>
        <sz val="11"/>
        <color rgb="FF000000"/>
        <rFont val="맑은 고딕"/>
        <family val="3"/>
        <charset val="129"/>
      </rPr>
      <t xml:space="preserve">[Ch05 </t>
    </r>
    <r>
      <rPr>
        <sz val="11"/>
        <color rgb="FF000000"/>
        <rFont val="Noto Sans CJK SC"/>
        <family val="2"/>
      </rPr>
      <t>슬라이드</t>
    </r>
    <r>
      <rPr>
        <sz val="11"/>
        <color rgb="FF000000"/>
        <rFont val="맑은 고딕"/>
        <family val="3"/>
        <charset val="129"/>
      </rPr>
      <t>].</t>
    </r>
  </si>
  <si>
    <r>
      <rPr>
        <b/>
        <sz val="11"/>
        <color rgb="FF000000"/>
        <rFont val="맑은 고딕"/>
        <family val="3"/>
        <charset val="129"/>
      </rPr>
      <t xml:space="preserve">1-3 </t>
    </r>
    <r>
      <rPr>
        <b/>
        <sz val="11"/>
        <color rgb="FF000000"/>
        <rFont val="Noto Sans CJK SC"/>
        <family val="2"/>
      </rPr>
      <t>주가추이</t>
    </r>
    <r>
      <rPr>
        <b/>
        <sz val="11"/>
        <color rgb="FF000000"/>
        <rFont val="맑은 고딕"/>
        <family val="3"/>
        <charset val="129"/>
      </rPr>
      <t>(</t>
    </r>
    <r>
      <rPr>
        <b/>
        <sz val="11"/>
        <color rgb="FF000000"/>
        <rFont val="Noto Sans CJK SC"/>
        <family val="2"/>
      </rPr>
      <t>월별</t>
    </r>
    <r>
      <rPr>
        <b/>
        <sz val="11"/>
        <color rgb="FF000000"/>
        <rFont val="맑은 고딕"/>
        <family val="3"/>
        <charset val="129"/>
      </rPr>
      <t>)</t>
    </r>
  </si>
  <si>
    <r>
      <rPr>
        <sz val="11"/>
        <color rgb="FF000000"/>
        <rFont val="맑은 고딕"/>
        <family val="3"/>
        <charset val="129"/>
      </rPr>
      <t>60</t>
    </r>
    <r>
      <rPr>
        <sz val="11"/>
        <color rgb="FF000000"/>
        <rFont val="Noto Sans CJK SC"/>
        <family val="2"/>
      </rPr>
      <t>개월 월말 종가</t>
    </r>
    <r>
      <rPr>
        <sz val="11"/>
        <color rgb="FF000000"/>
        <rFont val="맑은 고딕"/>
        <family val="3"/>
        <charset val="129"/>
      </rPr>
      <t>·KOSPI</t>
    </r>
    <r>
      <rPr>
        <sz val="11"/>
        <color rgb="FF000000"/>
        <rFont val="Noto Sans CJK SC"/>
        <family val="2"/>
      </rPr>
      <t>로 수익률과 지수를 만든다</t>
    </r>
    <r>
      <rPr>
        <sz val="11"/>
        <color rgb="FF000000"/>
        <rFont val="맑은 고딕"/>
        <family val="3"/>
        <charset val="129"/>
      </rPr>
      <t>.</t>
    </r>
  </si>
  <si>
    <r>
      <rPr>
        <sz val="11"/>
        <color rgb="FF000000"/>
        <rFont val="맑은 고딕"/>
        <family val="3"/>
        <charset val="129"/>
      </rPr>
      <t>7</t>
    </r>
    <r>
      <rPr>
        <sz val="11"/>
        <color rgb="FF000000"/>
        <rFont val="Noto Sans CJK SC"/>
        <family val="2"/>
      </rPr>
      <t>장 베타 추정</t>
    </r>
    <r>
      <rPr>
        <sz val="11"/>
        <color rgb="FF000000"/>
        <rFont val="맑은 고딕"/>
        <family val="3"/>
        <charset val="129"/>
      </rPr>
      <t xml:space="preserve">: </t>
    </r>
    <r>
      <rPr>
        <sz val="11"/>
        <color rgb="FF000000"/>
        <rFont val="Noto Sans CJK SC"/>
        <family val="2"/>
      </rPr>
      <t>대상 기업과 시장지수의 월별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Noto Sans CJK SC"/>
        <family val="2"/>
      </rPr>
      <t xml:space="preserve">일별 주식 수익률을 이용하여 </t>
    </r>
    <r>
      <rPr>
        <sz val="11"/>
        <color rgb="FF000000"/>
        <rFont val="맑은 고딕"/>
        <family val="3"/>
        <charset val="129"/>
      </rPr>
      <t>β</t>
    </r>
    <r>
      <rPr>
        <sz val="11"/>
        <color rgb="FF000000"/>
        <rFont val="Noto Sans CJK SC"/>
        <family val="2"/>
      </rPr>
      <t>를 구한다</t>
    </r>
    <r>
      <rPr>
        <sz val="11"/>
        <color rgb="FF000000"/>
        <rFont val="맑은 고딕"/>
        <family val="3"/>
        <charset val="129"/>
      </rPr>
      <t xml:space="preserve">[Ch07 </t>
    </r>
    <r>
      <rPr>
        <sz val="11"/>
        <color rgb="FF000000"/>
        <rFont val="Noto Sans CJK SC"/>
        <family val="2"/>
      </rPr>
      <t xml:space="preserve">슬라이드 </t>
    </r>
    <r>
      <rPr>
        <sz val="11"/>
        <color rgb="FF000000"/>
        <rFont val="맑은 고딕"/>
        <family val="3"/>
        <charset val="129"/>
      </rPr>
      <t xml:space="preserve">10] → CAPM </t>
    </r>
    <r>
      <rPr>
        <sz val="11"/>
        <color rgb="FF000000"/>
        <rFont val="Noto Sans CJK SC"/>
        <family val="2"/>
      </rPr>
      <t>자기자본비용</t>
    </r>
    <r>
      <rPr>
        <sz val="11"/>
        <color rgb="FF000000"/>
        <rFont val="맑은 고딕"/>
        <family val="3"/>
        <charset val="129"/>
      </rPr>
      <t xml:space="preserve">[Ch07 </t>
    </r>
    <r>
      <rPr>
        <sz val="11"/>
        <color rgb="FF000000"/>
        <rFont val="Noto Sans CJK SC"/>
        <family val="2"/>
      </rPr>
      <t xml:space="preserve">슬라이드 </t>
    </r>
    <r>
      <rPr>
        <sz val="11"/>
        <color rgb="FF000000"/>
        <rFont val="맑은 고딕"/>
        <family val="3"/>
        <charset val="129"/>
      </rPr>
      <t>9] → 11</t>
    </r>
    <r>
      <rPr>
        <sz val="11"/>
        <color rgb="FF000000"/>
        <rFont val="Noto Sans CJK SC"/>
        <family val="2"/>
      </rPr>
      <t xml:space="preserve">장 </t>
    </r>
    <r>
      <rPr>
        <sz val="11"/>
        <color rgb="FF000000"/>
        <rFont val="맑은 고딕"/>
        <family val="3"/>
        <charset val="129"/>
      </rPr>
      <t>RIM·DDM</t>
    </r>
    <r>
      <rPr>
        <sz val="11"/>
        <color rgb="FF000000"/>
        <rFont val="Noto Sans CJK SC"/>
        <family val="2"/>
      </rPr>
      <t>의 할인율</t>
    </r>
    <r>
      <rPr>
        <sz val="11"/>
        <color rgb="FF000000"/>
        <rFont val="맑은 고딕"/>
        <family val="3"/>
        <charset val="129"/>
      </rPr>
      <t xml:space="preserve">[Ch11 </t>
    </r>
    <r>
      <rPr>
        <sz val="11"/>
        <color rgb="FF000000"/>
        <rFont val="Noto Sans CJK SC"/>
        <family val="2"/>
      </rPr>
      <t xml:space="preserve">슬라이드 </t>
    </r>
    <r>
      <rPr>
        <sz val="11"/>
        <color rgb="FF000000"/>
        <rFont val="맑은 고딕"/>
        <family val="3"/>
        <charset val="129"/>
      </rPr>
      <t>5]</t>
    </r>
  </si>
  <si>
    <t>할인율 r의 원천. 미래에셋 보고서의 12M 베타 1.60은 이 방식으로 구한 값이다.</t>
  </si>
  <si>
    <t>월별 60개월·KOSPI 기준으로 통일하고 R²를 확인한다. 실무에서는 베타가 장기적으로 1로 회귀한다는 실증에 근거하여 조정베타(0.67×β+0.33)를 쓰기도 한다- 블룸버그 조정베타 [Ch07 슬라이드 10].</t>
  </si>
  <si>
    <r>
      <rPr>
        <b/>
        <sz val="11"/>
        <color rgb="FF000000"/>
        <rFont val="맑은 고딕"/>
        <family val="3"/>
        <charset val="129"/>
      </rPr>
      <t xml:space="preserve">1-4 </t>
    </r>
    <r>
      <rPr>
        <b/>
        <sz val="11"/>
        <color rgb="FF000000"/>
        <rFont val="Noto Sans CJK SC"/>
        <family val="2"/>
      </rPr>
      <t xml:space="preserve">보고서비교
</t>
    </r>
    <r>
      <rPr>
        <b/>
        <sz val="11"/>
        <color rgb="FF000000"/>
        <rFont val="맑은 고딕"/>
        <family val="3"/>
        <charset val="129"/>
      </rPr>
      <t xml:space="preserve">1-5·1-6 </t>
    </r>
    <r>
      <rPr>
        <b/>
        <sz val="11"/>
        <color rgb="FF000000"/>
        <rFont val="Noto Sans CJK SC"/>
        <family val="2"/>
      </rPr>
      <t>첨부</t>
    </r>
  </si>
  <si>
    <t>애널리스트 보고서와 신용평가 보고서를 대조한다.</t>
  </si>
  <si>
    <r>
      <rPr>
        <sz val="11"/>
        <color rgb="FF000000"/>
        <rFont val="맑은 고딕"/>
        <family val="3"/>
        <charset val="129"/>
      </rPr>
      <t>7</t>
    </r>
    <r>
      <rPr>
        <sz val="11"/>
        <color rgb="FF000000"/>
        <rFont val="Noto Sans CJK SC"/>
        <family val="2"/>
      </rPr>
      <t xml:space="preserve">장 </t>
    </r>
    <r>
      <rPr>
        <sz val="11"/>
        <color rgb="FF000000"/>
        <rFont val="맑은 고딕"/>
        <family val="3"/>
        <charset val="129"/>
      </rPr>
      <t>"</t>
    </r>
    <r>
      <rPr>
        <sz val="11"/>
        <color rgb="FF000000"/>
        <rFont val="Noto Sans CJK SC"/>
        <family val="2"/>
      </rPr>
      <t>재무제표로 보는 위험 — 관점이 다르다</t>
    </r>
    <r>
      <rPr>
        <sz val="11"/>
        <color rgb="FF000000"/>
        <rFont val="맑은 고딕"/>
        <family val="3"/>
        <charset val="129"/>
      </rPr>
      <t xml:space="preserve">": </t>
    </r>
    <r>
      <rPr>
        <sz val="11"/>
        <color rgb="FF000000"/>
        <rFont val="Noto Sans CJK SC"/>
        <family val="2"/>
      </rPr>
      <t>주가 변동성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주주</t>
    </r>
    <r>
      <rPr>
        <sz val="11"/>
        <color rgb="FF000000"/>
        <rFont val="맑은 고딕"/>
        <family val="3"/>
        <charset val="129"/>
      </rPr>
      <t xml:space="preserve">) vs </t>
    </r>
    <r>
      <rPr>
        <sz val="11"/>
        <color rgb="FF000000"/>
        <rFont val="Noto Sans CJK SC"/>
        <family val="2"/>
      </rPr>
      <t>파산 가능성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채권자</t>
    </r>
    <r>
      <rPr>
        <sz val="11"/>
        <color rgb="FF000000"/>
        <rFont val="맑은 고딕"/>
        <family val="3"/>
        <charset val="129"/>
      </rPr>
      <t xml:space="preserve">)[Ch07 </t>
    </r>
    <r>
      <rPr>
        <sz val="11"/>
        <color rgb="FF000000"/>
        <rFont val="Noto Sans CJK SC"/>
        <family val="2"/>
      </rPr>
      <t xml:space="preserve">슬라이드 </t>
    </r>
    <r>
      <rPr>
        <sz val="11"/>
        <color rgb="FF000000"/>
        <rFont val="맑은 고딕"/>
        <family val="3"/>
        <charset val="129"/>
      </rPr>
      <t>13] · 11</t>
    </r>
    <r>
      <rPr>
        <sz val="11"/>
        <color rgb="FF000000"/>
        <rFont val="Noto Sans CJK SC"/>
        <family val="2"/>
      </rPr>
      <t>장 가치평가 결과를 투자의견으로</t>
    </r>
    <r>
      <rPr>
        <sz val="11"/>
        <color rgb="FF000000"/>
        <rFont val="맑은 고딕"/>
        <family val="3"/>
        <charset val="129"/>
      </rPr>
      <t xml:space="preserve">[Ch11 </t>
    </r>
    <r>
      <rPr>
        <sz val="11"/>
        <color rgb="FF000000"/>
        <rFont val="Noto Sans CJK SC"/>
        <family val="2"/>
      </rPr>
      <t xml:space="preserve">슬라이드 </t>
    </r>
    <r>
      <rPr>
        <sz val="11"/>
        <color rgb="FF000000"/>
        <rFont val="맑은 고딕"/>
        <family val="3"/>
        <charset val="129"/>
      </rPr>
      <t>16]</t>
    </r>
  </si>
  <si>
    <t>같은 재무제표를 주주 관점(PBR·초과이익)과 채권자 관점(순차입금·이자보상)으로 읽는 연습. 2-3·2-4의 PBR 분석은 주주 관점이다.</t>
  </si>
  <si>
    <t>보고서의 P/B·ROE가 후행(trailing)인지, 12개월 선행(forward, 12MF)인지, 시가총액이 유통주식수 기준인지 확인한다[Ch03 슬라이드 19].</t>
  </si>
  <si>
    <r>
      <rPr>
        <b/>
        <sz val="11"/>
        <color rgb="FF000000"/>
        <rFont val="맑은 고딕"/>
        <family val="3"/>
        <charset val="129"/>
      </rPr>
      <t xml:space="preserve">2-1 </t>
    </r>
    <r>
      <rPr>
        <b/>
        <sz val="11"/>
        <color rgb="FF000000"/>
        <rFont val="Noto Sans CJK SC"/>
        <family val="2"/>
      </rPr>
      <t>재무상태표</t>
    </r>
  </si>
  <si>
    <r>
      <rPr>
        <sz val="11"/>
        <color rgb="FF000000"/>
        <rFont val="맑은 고딕"/>
        <family val="3"/>
        <charset val="129"/>
      </rPr>
      <t>6</t>
    </r>
    <r>
      <rPr>
        <sz val="11"/>
        <color rgb="FF000000"/>
        <rFont val="Noto Sans CJK SC"/>
        <family val="2"/>
      </rPr>
      <t>개년 재무상태표 입력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>공통형 분석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>증감율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분석적 검토</t>
    </r>
    <r>
      <rPr>
        <sz val="11"/>
        <color rgb="FF000000"/>
        <rFont val="맑은 고딕"/>
        <family val="3"/>
        <charset val="129"/>
      </rPr>
      <t>).</t>
    </r>
  </si>
  <si>
    <t>공통형·시계열·횡단면[Ch02 슬라이드 20~22, Ch03 슬라이드 18] · 6장 ROE 분해의 분모(평균총자산·평균자기자본)와 회전율[Ch06 슬라이드 12, 17] · 7장 부채비율·유동비율[Ch07 슬라이드 14] · 10장 추정 재무상태표는 이 시트의 항목 비중과 회전율로 만든다[Ch10 슬라이드 12~13] · 11장 RIM의 Equity₀[Ch11 슬라이드 12]</t>
  </si>
  <si>
    <t>가치평가의 출발점(장부가치)이자 미래 재무상태표의 뼈대. 10장에서는 이 표를 "거꾸로" 만든다(회전율 → 자산).</t>
  </si>
  <si>
    <t>계정 정의를 자료마다 확인한다(리스부채 포함 여부, 단기금융자산 범위). 자산 = 부채 + 자본 검증행은 10장 추정 재무제표에서도 그대로 쓴다[Ch10 슬라이드 14].</t>
  </si>
  <si>
    <r>
      <rPr>
        <b/>
        <sz val="11"/>
        <color rgb="FF000000"/>
        <rFont val="맑은 고딕"/>
        <family val="3"/>
        <charset val="129"/>
      </rPr>
      <t xml:space="preserve">2-2 </t>
    </r>
    <r>
      <rPr>
        <b/>
        <sz val="11"/>
        <color rgb="FF000000"/>
        <rFont val="Noto Sans CJK SC"/>
        <family val="2"/>
      </rPr>
      <t>공통형 해석</t>
    </r>
  </si>
  <si>
    <t>재무상태표에 없는 자산·부채(잠재적 자산·부채)와 구조 변화를 서술한다.</t>
  </si>
  <si>
    <t>잠재적 자산·저평가 자산[Ch02 슬라이드 13~15] · 잠재적 부채와 은닉 유인[Ch02 슬라이드 17~18] · 8장 보수주의와 이익적립금(R&amp;D·광고비)[Ch08 슬라이드 10~12] · 11장 RIM의 약점: "장부금액이 왜곡된 기업은 출발점이 부정확"[Ch11 슬라이드 13]</t>
  </si>
  <si>
    <t>후반부(7~11장) 파일의 초과이익모형에서 장부금액을 조정할 때 넣을 금액의 근거가 된다.</t>
  </si>
  <si>
    <t>실무의 M&amp;A 실사에서 잠재적 부채와 비영업자산은 '순부채·부채성 항목'과 '비영업자산' 목록으로 반영된다. 잠재적 자산(계약·기술·브랜드)은 별도로 더하지 않고 EV 산정(배수·FCF 예측)에 반영하며, 거래 후 식별가능한 무형자산으로 배분된다.</t>
  </si>
  <si>
    <r>
      <rPr>
        <b/>
        <sz val="11"/>
        <color rgb="FF000000"/>
        <rFont val="맑은 고딕"/>
        <family val="3"/>
        <charset val="129"/>
      </rPr>
      <t xml:space="preserve">2-3 PBR </t>
    </r>
    <r>
      <rPr>
        <b/>
        <sz val="11"/>
        <color rgb="FF000000"/>
        <rFont val="Noto Sans CJK SC"/>
        <family val="2"/>
      </rPr>
      <t>비교</t>
    </r>
  </si>
  <si>
    <t>결산일 종가·유통주식수·지배기업 소유주지분으로 6개년 PBR과 ROE.</t>
  </si>
  <si>
    <r>
      <rPr>
        <sz val="11"/>
        <color rgb="FF000000"/>
        <rFont val="맑은 고딕"/>
        <family val="3"/>
        <charset val="129"/>
      </rPr>
      <t>PBR</t>
    </r>
    <r>
      <rPr>
        <sz val="11"/>
        <color rgb="FF000000"/>
        <rFont val="Noto Sans CJK SC"/>
        <family val="2"/>
      </rPr>
      <t xml:space="preserve">의 정의와 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Noto Sans CJK SC"/>
        <family val="2"/>
      </rPr>
      <t>보다 큰 이유</t>
    </r>
    <r>
      <rPr>
        <sz val="11"/>
        <color rgb="FF000000"/>
        <rFont val="맑은 고딕"/>
        <family val="3"/>
        <charset val="129"/>
      </rPr>
      <t xml:space="preserve">[Ch02 </t>
    </r>
    <r>
      <rPr>
        <sz val="11"/>
        <color rgb="FF000000"/>
        <rFont val="Noto Sans CJK SC"/>
        <family val="2"/>
      </rPr>
      <t xml:space="preserve">슬라이드 </t>
    </r>
    <r>
      <rPr>
        <sz val="11"/>
        <color rgb="FF000000"/>
        <rFont val="맑은 고딕"/>
        <family val="3"/>
        <charset val="129"/>
      </rPr>
      <t xml:space="preserve">23] · </t>
    </r>
    <r>
      <rPr>
        <sz val="11"/>
        <color rgb="FF000000"/>
        <rFont val="Noto Sans CJK SC"/>
        <family val="2"/>
      </rPr>
      <t>저</t>
    </r>
    <r>
      <rPr>
        <sz val="11"/>
        <color rgb="FF000000"/>
        <rFont val="맑은 고딕"/>
        <family val="3"/>
        <charset val="129"/>
      </rPr>
      <t xml:space="preserve">PBR </t>
    </r>
    <r>
      <rPr>
        <sz val="11"/>
        <color rgb="FF000000"/>
        <rFont val="Noto Sans CJK SC"/>
        <family val="2"/>
      </rPr>
      <t>초과수익과 그 해석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 xml:space="preserve">위험 </t>
    </r>
    <r>
      <rPr>
        <sz val="11"/>
        <color rgb="FF000000"/>
        <rFont val="맑은 고딕"/>
        <family val="3"/>
        <charset val="129"/>
      </rPr>
      <t xml:space="preserve">vs </t>
    </r>
    <r>
      <rPr>
        <sz val="11"/>
        <color rgb="FF000000"/>
        <rFont val="Noto Sans CJK SC"/>
        <family val="2"/>
      </rPr>
      <t>과잉반응</t>
    </r>
    <r>
      <rPr>
        <sz val="11"/>
        <color rgb="FF000000"/>
        <rFont val="맑은 고딕"/>
        <family val="3"/>
        <charset val="129"/>
      </rPr>
      <t xml:space="preserve">)[Ch02 </t>
    </r>
    <r>
      <rPr>
        <sz val="11"/>
        <color rgb="FF000000"/>
        <rFont val="Noto Sans CJK SC"/>
        <family val="2"/>
      </rPr>
      <t xml:space="preserve">슬라이드 </t>
    </r>
    <r>
      <rPr>
        <sz val="11"/>
        <color rgb="FF000000"/>
        <rFont val="맑은 고딕"/>
        <family val="3"/>
        <charset val="129"/>
      </rPr>
      <t xml:space="preserve">24] · PBR = PER × ROE[Ch03 </t>
    </r>
    <r>
      <rPr>
        <sz val="11"/>
        <color rgb="FF000000"/>
        <rFont val="Noto Sans CJK SC"/>
        <family val="2"/>
      </rPr>
      <t xml:space="preserve">슬라이드 </t>
    </r>
    <r>
      <rPr>
        <sz val="11"/>
        <color rgb="FF000000"/>
        <rFont val="맑은 고딕"/>
        <family val="3"/>
        <charset val="129"/>
      </rPr>
      <t xml:space="preserve">19] · ROE </t>
    </r>
    <r>
      <rPr>
        <sz val="11"/>
        <color rgb="FF000000"/>
        <rFont val="Noto Sans CJK SC"/>
        <family val="2"/>
      </rPr>
      <t>정의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평균자기자본</t>
    </r>
    <r>
      <rPr>
        <sz val="11"/>
        <color rgb="FF000000"/>
        <rFont val="맑은 고딕"/>
        <family val="3"/>
        <charset val="129"/>
      </rPr>
      <t xml:space="preserve">)[Ch06 </t>
    </r>
    <r>
      <rPr>
        <sz val="11"/>
        <color rgb="FF000000"/>
        <rFont val="Noto Sans CJK SC"/>
        <family val="2"/>
      </rPr>
      <t xml:space="preserve">슬라이드 </t>
    </r>
    <r>
      <rPr>
        <sz val="11"/>
        <color rgb="FF000000"/>
        <rFont val="맑은 고딕"/>
        <family val="3"/>
        <charset val="129"/>
      </rPr>
      <t xml:space="preserve">11] · </t>
    </r>
    <r>
      <rPr>
        <sz val="11"/>
        <color rgb="FF000000"/>
        <rFont val="Noto Sans CJK SC"/>
        <family val="2"/>
      </rPr>
      <t xml:space="preserve">코리아 디스카운트와 낮은 </t>
    </r>
    <r>
      <rPr>
        <sz val="11"/>
        <color rgb="FF000000"/>
        <rFont val="맑은 고딕"/>
        <family val="3"/>
        <charset val="129"/>
      </rPr>
      <t xml:space="preserve">ROE[Ch06 </t>
    </r>
    <r>
      <rPr>
        <sz val="11"/>
        <color rgb="FF000000"/>
        <rFont val="Noto Sans CJK SC"/>
        <family val="2"/>
      </rPr>
      <t xml:space="preserve">슬라이드 </t>
    </r>
    <r>
      <rPr>
        <sz val="11"/>
        <color rgb="FF000000"/>
        <rFont val="맑은 고딕"/>
        <family val="3"/>
        <charset val="129"/>
      </rPr>
      <t>20] · 11</t>
    </r>
    <r>
      <rPr>
        <sz val="11"/>
        <color rgb="FF000000"/>
        <rFont val="Noto Sans CJK SC"/>
        <family val="2"/>
      </rPr>
      <t xml:space="preserve">장 주당 자기자본 → </t>
    </r>
    <r>
      <rPr>
        <sz val="11"/>
        <color rgb="FF000000"/>
        <rFont val="맑은 고딕"/>
        <family val="3"/>
        <charset val="129"/>
      </rPr>
      <t xml:space="preserve">RIM·PBR[Ch11 </t>
    </r>
    <r>
      <rPr>
        <sz val="11"/>
        <color rgb="FF000000"/>
        <rFont val="Noto Sans CJK SC"/>
        <family val="2"/>
      </rPr>
      <t xml:space="preserve">슬라이드 </t>
    </r>
    <r>
      <rPr>
        <sz val="11"/>
        <color rgb="FF000000"/>
        <rFont val="맑은 고딕"/>
        <family val="3"/>
        <charset val="129"/>
      </rPr>
      <t>5]</t>
    </r>
  </si>
  <si>
    <r>
      <rPr>
        <sz val="11"/>
        <color rgb="FF000000"/>
        <rFont val="맑은 고딕"/>
        <family val="3"/>
        <charset val="129"/>
      </rPr>
      <t>PBR</t>
    </r>
    <r>
      <rPr>
        <sz val="11"/>
        <color rgb="FF000000"/>
        <rFont val="Noto Sans CJK SC"/>
        <family val="2"/>
      </rPr>
      <t xml:space="preserve">은 </t>
    </r>
    <r>
      <rPr>
        <sz val="11"/>
        <color rgb="FF000000"/>
        <rFont val="맑은 고딕"/>
        <family val="3"/>
        <charset val="129"/>
      </rPr>
      <t>2</t>
    </r>
    <r>
      <rPr>
        <sz val="11"/>
        <color rgb="FF000000"/>
        <rFont val="Noto Sans CJK SC"/>
        <family val="2"/>
      </rPr>
      <t>장 전체의 내용을 반영하는 숫자</t>
    </r>
    <r>
      <rPr>
        <sz val="11"/>
        <color rgb="FF000000"/>
        <rFont val="맑은 고딕"/>
        <family val="3"/>
        <charset val="129"/>
      </rPr>
      <t>: "</t>
    </r>
    <r>
      <rPr>
        <sz val="11"/>
        <color rgb="FF000000"/>
        <rFont val="Noto Sans CJK SC"/>
        <family val="2"/>
      </rPr>
      <t>분자는 시장이 본 가치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>분모는 회계가 적은 가치</t>
    </r>
    <r>
      <rPr>
        <sz val="11"/>
        <color rgb="FF000000"/>
        <rFont val="맑은 고딕"/>
        <family val="3"/>
        <charset val="129"/>
      </rPr>
      <t xml:space="preserve">"[Ch02 </t>
    </r>
    <r>
      <rPr>
        <sz val="11"/>
        <color rgb="FF000000"/>
        <rFont val="Noto Sans CJK SC"/>
        <family val="2"/>
      </rPr>
      <t xml:space="preserve">슬라이드 </t>
    </r>
    <r>
      <rPr>
        <sz val="11"/>
        <color rgb="FF000000"/>
        <rFont val="맑은 고딕"/>
        <family val="3"/>
        <charset val="129"/>
      </rPr>
      <t>23].</t>
    </r>
  </si>
  <si>
    <t>분자(시가총액)와 분모(장부가치)의 귀속 주체를 맞춘다: 지배지분 ↔ 유통주식수(자기주식 제외). 12월 말과 익년 3월 말 두 시점으로 계산해 공시 전후를 비교한다[Ch02 슬라이드 23 노트].</t>
  </si>
  <si>
    <r>
      <rPr>
        <b/>
        <sz val="16"/>
        <color rgb="FF1F3864"/>
        <rFont val="맑은 고딕"/>
        <family val="3"/>
        <charset val="129"/>
      </rPr>
      <t>[</t>
    </r>
    <r>
      <rPr>
        <b/>
        <sz val="16"/>
        <color rgb="FF1F3864"/>
        <rFont val="Noto Sans CJK SC"/>
        <family val="2"/>
      </rPr>
      <t>과제 ①</t>
    </r>
    <r>
      <rPr>
        <b/>
        <sz val="16"/>
        <color rgb="FF1F3864"/>
        <rFont val="맑은 고딕"/>
        <family val="3"/>
        <charset val="129"/>
      </rPr>
      <t xml:space="preserve">] </t>
    </r>
    <r>
      <rPr>
        <b/>
        <sz val="16"/>
        <color rgb="FF1F3864"/>
        <rFont val="Noto Sans CJK SC"/>
        <family val="2"/>
      </rPr>
      <t>재무상태표 입력 및 공통형</t>
    </r>
    <r>
      <rPr>
        <b/>
        <sz val="16"/>
        <color rgb="FF1F3864"/>
        <rFont val="맑은 고딕"/>
        <family val="3"/>
        <charset val="129"/>
      </rPr>
      <t xml:space="preserve">(common-size) </t>
    </r>
    <r>
      <rPr>
        <b/>
        <sz val="16"/>
        <color rgb="FF1F3864"/>
        <rFont val="Noto Sans CJK SC"/>
        <family val="2"/>
      </rPr>
      <t>분석</t>
    </r>
  </si>
  <si>
    <t>단위: 백만원 · 연결재무제표 기준 · 대상기업을 앞에, 비교기업을 뒤에 입력합니다. 공통형 분석은 데이터의 오른쪽에 작성합니다.</t>
  </si>
  <si>
    <t>대상기업 (금액, 백만원)</t>
  </si>
  <si>
    <t>비교기업 (금액, 백만원)</t>
  </si>
  <si>
    <t>공통형 분석 — 대상기업 (자산총계 = 100%)</t>
  </si>
  <si>
    <t>공통형 분석 — 비교기업 (자산총계 = 100%)</t>
  </si>
  <si>
    <t>분석적 검토 — 대상기업 (전기 대비 증감율)</t>
  </si>
  <si>
    <t>분석적 검토 — 비교기업 (전기 대비 증감율)</t>
  </si>
  <si>
    <t>공통형 분석 열은 전 행에 수식이 채워져 있습니다(자산총계 = 100%).</t>
  </si>
  <si>
    <t>계정과목</t>
  </si>
  <si>
    <t>2020</t>
  </si>
  <si>
    <t>2021</t>
  </si>
  <si>
    <t>2022</t>
  </si>
  <si>
    <t>2023</t>
  </si>
  <si>
    <t>2024</t>
  </si>
  <si>
    <t>2025</t>
  </si>
  <si>
    <t>2020→2021</t>
  </si>
  <si>
    <t>2021→2022</t>
  </si>
  <si>
    <t>2022→2023</t>
  </si>
  <si>
    <t>2023→2024</t>
  </si>
  <si>
    <t>2024→2025</t>
  </si>
  <si>
    <r>
      <rPr>
        <b/>
        <sz val="11"/>
        <color rgb="FF000000"/>
        <rFont val="맑은 고딕"/>
        <family val="3"/>
        <charset val="129"/>
      </rPr>
      <t xml:space="preserve">&lt; </t>
    </r>
    <r>
      <rPr>
        <b/>
        <sz val="11"/>
        <color rgb="FF000000"/>
        <rFont val="Noto Sans CJK SC"/>
        <family val="2"/>
      </rPr>
      <t xml:space="preserve">유동자산 </t>
    </r>
    <r>
      <rPr>
        <b/>
        <sz val="11"/>
        <color rgb="FF000000"/>
        <rFont val="맑은 고딕"/>
        <family val="3"/>
        <charset val="129"/>
      </rPr>
      <t>&gt;</t>
    </r>
  </si>
  <si>
    <t>자산총계 행 참조가 $로 고정되어 있으므로, 그 한 칸을 복사해 공통형 영역 전체에 붙여넣으면 됩니다.</t>
  </si>
  <si>
    <t>현금및현금성자산</t>
  </si>
  <si>
    <t>단기금융상품</t>
  </si>
  <si>
    <t>공통형 분석의 분모는 언제나 '자산총계'입니다. 부채·자본 항목도 자본총계가 아니라 자산총계로 나눕니다.</t>
  </si>
  <si>
    <t>유동 당기손익인식금융자산</t>
  </si>
  <si>
    <t>유동 기타포괄손익인식금융자산</t>
  </si>
  <si>
    <t>입력 칸(노란색)은 6개년 모두 채워야 합니다. 해당 항목이 없는 회사면 0을 입력하세요. 빈칸이면 소계가 어긋납니다.</t>
  </si>
  <si>
    <t>매출채권 및 기타유동채권</t>
  </si>
  <si>
    <t>재고자산</t>
  </si>
  <si>
    <t>분석적 검토는 전기 대비 증감율입니다. 매출·사업 규모의 변화에 견주어 특정 계정만 튀는지 확인하세요.</t>
  </si>
  <si>
    <t>유동 파생상품 금융자산</t>
  </si>
  <si>
    <t>기타유동자산</t>
  </si>
  <si>
    <t>당기법인세자산</t>
  </si>
  <si>
    <t>유동자산 계</t>
  </si>
  <si>
    <t>대상기업과 비교기업이 같은 방향으로 움직였다면 산업·시장 요인, 대상기업만 움직였다면 기업 고유 요인일 가능성이 큽니다.</t>
  </si>
  <si>
    <r>
      <rPr>
        <b/>
        <sz val="11"/>
        <color rgb="FF000000"/>
        <rFont val="맑은 고딕"/>
        <family val="3"/>
        <charset val="129"/>
      </rPr>
      <t xml:space="preserve">&lt; </t>
    </r>
    <r>
      <rPr>
        <b/>
        <sz val="11"/>
        <color rgb="FF000000"/>
        <rFont val="Noto Sans CJK SC"/>
        <family val="2"/>
      </rPr>
      <t xml:space="preserve">비유동자산 </t>
    </r>
    <r>
      <rPr>
        <b/>
        <sz val="11"/>
        <color rgb="FF000000"/>
        <rFont val="맑은 고딕"/>
        <family val="3"/>
        <charset val="129"/>
      </rPr>
      <t>&gt;</t>
    </r>
  </si>
  <si>
    <t>장기금융상품</t>
  </si>
  <si>
    <t>전기 값이 0이거나 비어 있으면 증감율을 계산하지 않고 공란으로 둡니다. 기타자본항목처럼 전기 값이 음수인 계정은 부호가 직관과 반대로 나오니 주의하세요.</t>
  </si>
  <si>
    <t>비유동 당기손익인식금융자산</t>
  </si>
  <si>
    <t>비유동 기타포괄손익인식금융자산</t>
  </si>
  <si>
    <t>관계기업및공동기업투자</t>
  </si>
  <si>
    <t>기타비유동금융자산</t>
  </si>
  <si>
    <t>유형자산</t>
  </si>
  <si>
    <t>무형자산</t>
  </si>
  <si>
    <t>투자부동산</t>
  </si>
  <si>
    <t>비유동파생상품자산</t>
  </si>
  <si>
    <t>이연법인세자산</t>
  </si>
  <si>
    <t>기타비유동자산</t>
  </si>
  <si>
    <t>비유동 순확정급여자산</t>
  </si>
  <si>
    <t>비유동자산 계</t>
  </si>
  <si>
    <t>자산총계</t>
  </si>
  <si>
    <r>
      <rPr>
        <b/>
        <sz val="11"/>
        <color rgb="FF000000"/>
        <rFont val="맑은 고딕"/>
        <family val="3"/>
        <charset val="129"/>
      </rPr>
      <t xml:space="preserve">&lt; </t>
    </r>
    <r>
      <rPr>
        <b/>
        <sz val="11"/>
        <color rgb="FF000000"/>
        <rFont val="Noto Sans CJK SC"/>
        <family val="2"/>
      </rPr>
      <t xml:space="preserve">유동부채 </t>
    </r>
    <r>
      <rPr>
        <b/>
        <sz val="11"/>
        <color rgb="FF000000"/>
        <rFont val="맑은 고딕"/>
        <family val="3"/>
        <charset val="129"/>
      </rPr>
      <t>&gt;</t>
    </r>
  </si>
  <si>
    <t>매입채무 및 기타유동채무</t>
  </si>
  <si>
    <t>단기차입금</t>
  </si>
  <si>
    <t>유동성장기부채 (비유동차입금의 유동성 대체 부분)</t>
  </si>
  <si>
    <t>유동성전환사채</t>
  </si>
  <si>
    <t>유동계약부채</t>
  </si>
  <si>
    <t>유동 파생상품 금융부채</t>
  </si>
  <si>
    <t>당기법인세부채</t>
  </si>
  <si>
    <t>유동 리스부채</t>
  </si>
  <si>
    <t>유동성전환상환우선주부채</t>
  </si>
  <si>
    <t>기타 유동부채</t>
  </si>
  <si>
    <t>유동부채 계</t>
  </si>
  <si>
    <r>
      <rPr>
        <b/>
        <sz val="11"/>
        <color rgb="FF000000"/>
        <rFont val="맑은 고딕"/>
        <family val="3"/>
        <charset val="129"/>
      </rPr>
      <t xml:space="preserve">&lt; </t>
    </r>
    <r>
      <rPr>
        <b/>
        <sz val="11"/>
        <color rgb="FF000000"/>
        <rFont val="Noto Sans CJK SC"/>
        <family val="2"/>
      </rPr>
      <t xml:space="preserve">비유동부채 </t>
    </r>
    <r>
      <rPr>
        <b/>
        <sz val="11"/>
        <color rgb="FF000000"/>
        <rFont val="맑은 고딕"/>
        <family val="3"/>
        <charset val="129"/>
      </rPr>
      <t>&gt;</t>
    </r>
  </si>
  <si>
    <t>장기차입금</t>
  </si>
  <si>
    <t>전환사채 (비유동)</t>
  </si>
  <si>
    <t>비유동 파생상품 금융부채</t>
  </si>
  <si>
    <t>비유동 순확정급여부채</t>
  </si>
  <si>
    <t>비유동 리스부채</t>
  </si>
  <si>
    <t>기타비유동금융부채</t>
  </si>
  <si>
    <t>비유동계약부채</t>
  </si>
  <si>
    <t>기타 비유동 부채</t>
  </si>
  <si>
    <t>이연법인세부채</t>
  </si>
  <si>
    <t>비유동부채 계</t>
  </si>
  <si>
    <t>부채총계</t>
  </si>
  <si>
    <r>
      <rPr>
        <b/>
        <sz val="11"/>
        <color rgb="FF000000"/>
        <rFont val="맑은 고딕"/>
        <family val="3"/>
        <charset val="129"/>
      </rPr>
      <t xml:space="preserve">&lt; </t>
    </r>
    <r>
      <rPr>
        <b/>
        <sz val="11"/>
        <color rgb="FF000000"/>
        <rFont val="Noto Sans CJK SC"/>
        <family val="2"/>
      </rPr>
      <t xml:space="preserve">자본 </t>
    </r>
    <r>
      <rPr>
        <b/>
        <sz val="11"/>
        <color rgb="FF000000"/>
        <rFont val="맑은 고딕"/>
        <family val="3"/>
        <charset val="129"/>
      </rPr>
      <t>&gt;</t>
    </r>
  </si>
  <si>
    <t>자본금</t>
  </si>
  <si>
    <t>자본잉여금</t>
  </si>
  <si>
    <t>기타자본구성요소</t>
  </si>
  <si>
    <t>기타포괄손익누계액</t>
  </si>
  <si>
    <t>이익잉여금(결손금)</t>
  </si>
  <si>
    <t>비지배지분</t>
  </si>
  <si>
    <t>자본총계</t>
  </si>
  <si>
    <t>부채와자본총계</t>
  </si>
  <si>
    <r>
      <rPr>
        <b/>
        <sz val="11"/>
        <color rgb="FFC00000"/>
        <rFont val="맑은 고딕"/>
        <family val="2"/>
        <charset val="1"/>
      </rPr>
      <t>(</t>
    </r>
    <r>
      <rPr>
        <b/>
        <sz val="11"/>
        <color rgb="FFC00000"/>
        <rFont val="Noto Sans CJK SC"/>
        <family val="2"/>
      </rPr>
      <t>분석적 검토</t>
    </r>
    <r>
      <rPr>
        <b/>
        <sz val="11"/>
        <color rgb="FFC00000"/>
        <rFont val="맑은 고딕"/>
        <family val="2"/>
        <charset val="1"/>
      </rPr>
      <t xml:space="preserve">) 30% </t>
    </r>
    <r>
      <rPr>
        <b/>
        <sz val="11"/>
        <color rgb="FFC00000"/>
        <rFont val="Noto Sans CJK SC"/>
        <family val="2"/>
      </rPr>
      <t>이상 변동한 계정 수</t>
    </r>
  </si>
  <si>
    <t>검증: 자산총계 = 부채와자본총계</t>
  </si>
  <si>
    <t>부채비율 (부채총계 ÷ 자본총계)</t>
  </si>
  <si>
    <t>자료 출처 (사업보고서명 · 페이지 · 조회일자)</t>
  </si>
  <si>
    <r>
      <rPr>
        <b/>
        <sz val="16"/>
        <color rgb="FF1F3864"/>
        <rFont val="맑은 고딕"/>
        <family val="3"/>
        <charset val="129"/>
      </rPr>
      <t>[</t>
    </r>
    <r>
      <rPr>
        <b/>
        <sz val="16"/>
        <color rgb="FF1F3864"/>
        <rFont val="Noto Sans CJK SC"/>
        <family val="2"/>
      </rPr>
      <t>과제 ②</t>
    </r>
    <r>
      <rPr>
        <b/>
        <sz val="16"/>
        <color rgb="FF1F3864"/>
        <rFont val="맑은 고딕"/>
        <family val="3"/>
        <charset val="129"/>
      </rPr>
      <t xml:space="preserve">] Chapter Report — </t>
    </r>
    <r>
      <rPr>
        <b/>
        <sz val="16"/>
        <color rgb="FF1F3864"/>
        <rFont val="Noto Sans CJK SC"/>
        <family val="2"/>
      </rPr>
      <t>재무상태표 설명</t>
    </r>
  </si>
  <si>
    <r>
      <rPr>
        <sz val="9"/>
        <color rgb="FF808080"/>
        <rFont val="맑은 고딕"/>
        <family val="3"/>
        <charset val="129"/>
      </rPr>
      <t xml:space="preserve">2-1 </t>
    </r>
    <r>
      <rPr>
        <sz val="9"/>
        <color rgb="FF808080"/>
        <rFont val="Noto Sans CJK SC"/>
        <family val="2"/>
      </rPr>
      <t>시트의 공통형 분석 결과를 근거로 서술하세요</t>
    </r>
    <r>
      <rPr>
        <sz val="9"/>
        <color rgb="FF808080"/>
        <rFont val="맑은 고딕"/>
        <family val="3"/>
        <charset val="129"/>
      </rPr>
      <t>. '</t>
    </r>
    <r>
      <rPr>
        <sz val="9"/>
        <color rgb="FF808080"/>
        <rFont val="Noto Sans CJK SC"/>
        <family val="2"/>
      </rPr>
      <t>기업이 영위하는 사업을 충분히 이해한 후</t>
    </r>
    <r>
      <rPr>
        <sz val="9"/>
        <color rgb="FF808080"/>
        <rFont val="맑은 고딕"/>
        <family val="3"/>
        <charset val="129"/>
      </rPr>
      <t xml:space="preserve">' </t>
    </r>
    <r>
      <rPr>
        <sz val="9"/>
        <color rgb="FF808080"/>
        <rFont val="Noto Sans CJK SC"/>
        <family val="2"/>
      </rPr>
      <t>재무상태표를 읽는 것이 순서입니다</t>
    </r>
    <r>
      <rPr>
        <sz val="9"/>
        <color rgb="FF808080"/>
        <rFont val="맑은 고딕"/>
        <family val="3"/>
        <charset val="129"/>
      </rPr>
      <t>.</t>
    </r>
  </si>
  <si>
    <t>자산 구성의 특징</t>
  </si>
  <si>
    <t>기업이 영위하는 사업을 먼저 설명하고, 그 사업이 재무상태표의 어느 항목으로 나타나는지 연결하여 서술한다.</t>
  </si>
  <si>
    <r>
      <rPr>
        <b/>
        <sz val="11"/>
        <color rgb="FF000000"/>
        <rFont val="맑은 고딕"/>
        <family val="3"/>
        <charset val="129"/>
      </rPr>
      <t>6</t>
    </r>
    <r>
      <rPr>
        <b/>
        <sz val="11"/>
        <color rgb="FF000000"/>
        <rFont val="Noto Sans CJK SC"/>
        <family val="2"/>
      </rPr>
      <t>개년 자산구성 변화 추이</t>
    </r>
  </si>
  <si>
    <t>자산 구성(유동/비유동, 유형자산 비중 등)의 특징과 연도별 변화를 공통형 분석 결과에 근거하여 설명한다.</t>
  </si>
  <si>
    <t>자금조달 구조 (부채 vs 자본)</t>
  </si>
  <si>
    <t>부채와 자본의 구성, 조달 방식의 특징을 설명한다.</t>
  </si>
  <si>
    <t>부채의 만기 구성</t>
  </si>
  <si>
    <t>주석에서 확인한 잠재적 부채(우발부채·지급보증·운용리스 등)와 저평가된 자산이 있는지 검토한다.</t>
  </si>
  <si>
    <t>비교기업과의 가장 큰 차이</t>
  </si>
  <si>
    <t>비교기업과 구성이 뚜렷하게 다른 항목을 찾아 그 이유를 설명한다.</t>
  </si>
  <si>
    <t>재무상태표에 없는 자산 (잠재적 자산)</t>
  </si>
  <si>
    <t>재무상태표에 없는 부채 (잠재적 부채)</t>
  </si>
  <si>
    <t>급격히 변동한 계정과 그 원인</t>
  </si>
  <si>
    <r>
      <rPr>
        <sz val="11"/>
        <color rgb="FF000000"/>
        <rFont val="맑은 고딕"/>
        <family val="2"/>
        <charset val="1"/>
      </rPr>
      <t xml:space="preserve">2-1 </t>
    </r>
    <r>
      <rPr>
        <sz val="11"/>
        <color rgb="FF000000"/>
        <rFont val="Noto Sans CJK SC"/>
        <family val="2"/>
      </rPr>
      <t xml:space="preserve">시트의 분석적 검토에서 </t>
    </r>
    <r>
      <rPr>
        <sz val="11"/>
        <color rgb="FF000000"/>
        <rFont val="맑은 고딕"/>
        <family val="2"/>
        <charset val="1"/>
      </rPr>
      <t xml:space="preserve">30% </t>
    </r>
    <r>
      <rPr>
        <sz val="11"/>
        <color rgb="FF000000"/>
        <rFont val="Noto Sans CJK SC"/>
        <family val="2"/>
      </rPr>
      <t>이상 변동한 계정을 고르고</t>
    </r>
    <r>
      <rPr>
        <sz val="11"/>
        <color rgb="FF000000"/>
        <rFont val="맑은 고딕"/>
        <family val="2"/>
        <charset val="1"/>
      </rPr>
      <t xml:space="preserve">, </t>
    </r>
    <r>
      <rPr>
        <sz val="11"/>
        <color rgb="FF000000"/>
        <rFont val="Noto Sans CJK SC"/>
        <family val="2"/>
      </rPr>
      <t>사업보고서 주석에서 그 원인을 찾아 서술한다</t>
    </r>
    <r>
      <rPr>
        <sz val="11"/>
        <color rgb="FF000000"/>
        <rFont val="맑은 고딕"/>
        <family val="2"/>
        <charset val="1"/>
      </rPr>
      <t>.</t>
    </r>
  </si>
  <si>
    <t>기업 고유 변동 vs 산업 공통 변동</t>
  </si>
  <si>
    <t>같은 계정을 비교기업과 대조한다. 두 기업이 함께 움직였으면 산업 요인, 대상기업만 움직였으면 기업 고유 요인으로 나누어 설명한다.</t>
  </si>
  <si>
    <r>
      <rPr>
        <b/>
        <sz val="16"/>
        <color rgb="FF1F3864"/>
        <rFont val="맑은 고딕"/>
        <family val="3"/>
        <charset val="129"/>
      </rPr>
      <t>[</t>
    </r>
    <r>
      <rPr>
        <b/>
        <sz val="16"/>
        <color rgb="FF1F3864"/>
        <rFont val="Noto Sans CJK SC"/>
        <family val="2"/>
      </rPr>
      <t>과제 ⑥</t>
    </r>
    <r>
      <rPr>
        <b/>
        <sz val="16"/>
        <color rgb="FF1F3864"/>
        <rFont val="맑은 고딕"/>
        <family val="3"/>
        <charset val="129"/>
      </rPr>
      <t xml:space="preserve">] </t>
    </r>
    <r>
      <rPr>
        <b/>
        <sz val="16"/>
        <color rgb="FF1F3864"/>
        <rFont val="Noto Sans CJK SC"/>
        <family val="2"/>
      </rPr>
      <t>대상기업</t>
    </r>
    <r>
      <rPr>
        <b/>
        <sz val="16"/>
        <color rgb="FF1F3864"/>
        <rFont val="맑은 고딕"/>
        <family val="3"/>
        <charset val="129"/>
      </rPr>
      <t>·</t>
    </r>
    <r>
      <rPr>
        <b/>
        <sz val="16"/>
        <color rgb="FF1F3864"/>
        <rFont val="Noto Sans CJK SC"/>
        <family val="2"/>
      </rPr>
      <t xml:space="preserve">비교기업 </t>
    </r>
    <r>
      <rPr>
        <b/>
        <sz val="16"/>
        <color rgb="FF1F3864"/>
        <rFont val="맑은 고딕"/>
        <family val="3"/>
        <charset val="129"/>
      </rPr>
      <t xml:space="preserve">PBR </t>
    </r>
    <r>
      <rPr>
        <b/>
        <sz val="16"/>
        <color rgb="FF1F3864"/>
        <rFont val="Noto Sans CJK SC"/>
        <family val="2"/>
      </rPr>
      <t>추이 비교</t>
    </r>
  </si>
  <si>
    <t>단위: 자본 백만원 · 주가 원 · 주식수 천주 · 자본총계와 비지배지분은 2-1 시트에서 자동으로 연결됩니다. 노란 칸(주식수·주가)만 채우면 됩니다.</t>
  </si>
  <si>
    <t>■ 자료 입력과 PBR 계산</t>
  </si>
  <si>
    <t>자본총계 (2-1 시트 연결)</t>
  </si>
  <si>
    <t>비지배지분을 빼는 이유: PBR의 분자인 시가총액은 지배기업 주주의 몫이므로, 분모도 지배기업 소유주지분으로 맞춰야 짝이 맞습니다.</t>
  </si>
  <si>
    <t>비지배지분 (2-1 시트 연결)</t>
  </si>
  <si>
    <t>지배기업 소유주지분 (= 자본총계 − 비지배지분)</t>
  </si>
  <si>
    <t>기말 발행주식수 (천주)</t>
  </si>
  <si>
    <t>발행주식수·자기주식수는 사업보고서 "주식의 총수 등" 항목, 12월 말 종가는 KRX·네이버금융 등에서 조회합니다. 출처를 맨 아래 칸에 남기세요.</t>
  </si>
  <si>
    <t>기말 자기주식수 (천주)</t>
  </si>
  <si>
    <t>유통주식수 (천주) (= 발행 − 자기주식)</t>
  </si>
  <si>
    <r>
      <rPr>
        <sz val="11"/>
        <color rgb="FF000000"/>
        <rFont val="맑은 고딕"/>
        <family val="3"/>
        <charset val="129"/>
      </rPr>
      <t>12</t>
    </r>
    <r>
      <rPr>
        <sz val="11"/>
        <color rgb="FF000000"/>
        <rFont val="Noto Sans CJK SC"/>
        <family val="2"/>
      </rPr>
      <t xml:space="preserve">월 말 종가 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원</t>
    </r>
    <r>
      <rPr>
        <sz val="11"/>
        <color rgb="FF000000"/>
        <rFont val="맑은 고딕"/>
        <family val="3"/>
        <charset val="129"/>
      </rPr>
      <t>)</t>
    </r>
  </si>
  <si>
    <t>시가총액 (백만원) (= 종가 × 유통주식수 ÷ 1,000)</t>
  </si>
  <si>
    <t>참고: DataGuide 연말 시가총액(백만원)은 자기주식을 포함한 발행주식수 기준이라 이 표의 유통주식수 기준 시총보다 큽니다.</t>
  </si>
  <si>
    <t>주당순자산 BPS (원) (= 지배지분 × 1,000 ÷ 유통주식수)</t>
  </si>
  <si>
    <t>단위 환산: 지배지분(백만원)×1,000,000 ÷ (유통주식수(천주)×1,000) = 지배지분×1,000 ÷ 유통주식수(천주).</t>
  </si>
  <si>
    <r>
      <rPr>
        <b/>
        <sz val="11"/>
        <color rgb="FF000000"/>
        <rFont val="맑은 고딕"/>
        <family val="3"/>
        <charset val="129"/>
      </rPr>
      <t xml:space="preserve">PBR (= </t>
    </r>
    <r>
      <rPr>
        <b/>
        <sz val="11"/>
        <color rgb="FF000000"/>
        <rFont val="Noto Sans CJK SC"/>
        <family val="2"/>
      </rPr>
      <t xml:space="preserve">종가 </t>
    </r>
    <r>
      <rPr>
        <b/>
        <sz val="11"/>
        <color rgb="FF000000"/>
        <rFont val="맑은 고딕"/>
        <family val="3"/>
        <charset val="129"/>
      </rPr>
      <t xml:space="preserve">÷ BPS = </t>
    </r>
    <r>
      <rPr>
        <b/>
        <sz val="11"/>
        <color rgb="FF000000"/>
        <rFont val="Noto Sans CJK SC"/>
        <family val="2"/>
      </rPr>
      <t xml:space="preserve">시가총액 </t>
    </r>
    <r>
      <rPr>
        <b/>
        <sz val="11"/>
        <color rgb="FF000000"/>
        <rFont val="맑은 고딕"/>
        <family val="3"/>
        <charset val="129"/>
      </rPr>
      <t xml:space="preserve">÷ </t>
    </r>
    <r>
      <rPr>
        <b/>
        <sz val="11"/>
        <color rgb="FF000000"/>
        <rFont val="Noto Sans CJK SC"/>
        <family val="2"/>
      </rPr>
      <t>지배지분</t>
    </r>
    <r>
      <rPr>
        <b/>
        <sz val="11"/>
        <color rgb="FF000000"/>
        <rFont val="맑은 고딕"/>
        <family val="3"/>
        <charset val="129"/>
      </rPr>
      <t>)</t>
    </r>
  </si>
  <si>
    <r>
      <rPr>
        <sz val="11"/>
        <color rgb="FF808080"/>
        <rFont val="맑은 고딕"/>
        <family val="3"/>
        <charset val="129"/>
      </rPr>
      <t xml:space="preserve">ROE = 3-1 </t>
    </r>
    <r>
      <rPr>
        <sz val="11"/>
        <color rgb="FF808080"/>
        <rFont val="Noto Sans CJK SC"/>
        <family val="2"/>
      </rPr>
      <t xml:space="preserve">시트의 지배기업 소유주지분 순이익 </t>
    </r>
    <r>
      <rPr>
        <sz val="11"/>
        <color rgb="FF808080"/>
        <rFont val="맑은 고딕"/>
        <family val="3"/>
        <charset val="129"/>
      </rPr>
      <t>÷ (</t>
    </r>
    <r>
      <rPr>
        <sz val="11"/>
        <color rgb="FF808080"/>
        <rFont val="Noto Sans CJK SC"/>
        <family val="2"/>
      </rPr>
      <t xml:space="preserve">당기말 </t>
    </r>
    <r>
      <rPr>
        <sz val="11"/>
        <color rgb="FF808080"/>
        <rFont val="맑은 고딕"/>
        <family val="3"/>
        <charset val="129"/>
      </rPr>
      <t xml:space="preserve">+ </t>
    </r>
    <r>
      <rPr>
        <sz val="11"/>
        <color rgb="FF808080"/>
        <rFont val="Noto Sans CJK SC"/>
        <family val="2"/>
      </rPr>
      <t>전기말 지배지분</t>
    </r>
    <r>
      <rPr>
        <sz val="11"/>
        <color rgb="FF808080"/>
        <rFont val="맑은 고딕"/>
        <family val="3"/>
        <charset val="129"/>
      </rPr>
      <t xml:space="preserve">) ÷ 2. 6-1 </t>
    </r>
    <r>
      <rPr>
        <sz val="11"/>
        <color rgb="FF808080"/>
        <rFont val="Noto Sans CJK SC"/>
        <family val="2"/>
      </rPr>
      <t xml:space="preserve">시트의 </t>
    </r>
    <r>
      <rPr>
        <sz val="11"/>
        <color rgb="FF808080"/>
        <rFont val="맑은 고딕"/>
        <family val="3"/>
        <charset val="129"/>
      </rPr>
      <t>ROE</t>
    </r>
    <r>
      <rPr>
        <sz val="11"/>
        <color rgb="FF808080"/>
        <rFont val="Noto Sans CJK SC"/>
        <family val="2"/>
      </rPr>
      <t>는 교재 정의</t>
    </r>
    <r>
      <rPr>
        <sz val="11"/>
        <color rgb="FF808080"/>
        <rFont val="맑은 고딕"/>
        <family val="3"/>
        <charset val="129"/>
      </rPr>
      <t>(</t>
    </r>
    <r>
      <rPr>
        <sz val="11"/>
        <color rgb="FF808080"/>
        <rFont val="Noto Sans CJK SC"/>
        <family val="2"/>
      </rPr>
      <t xml:space="preserve">당기순이익 </t>
    </r>
    <r>
      <rPr>
        <sz val="11"/>
        <color rgb="FF808080"/>
        <rFont val="맑은 고딕"/>
        <family val="3"/>
        <charset val="129"/>
      </rPr>
      <t xml:space="preserve">÷ </t>
    </r>
    <r>
      <rPr>
        <sz val="11"/>
        <color rgb="FF808080"/>
        <rFont val="Noto Sans CJK SC"/>
        <family val="2"/>
      </rPr>
      <t>평균자본총계</t>
    </r>
    <r>
      <rPr>
        <sz val="11"/>
        <color rgb="FF808080"/>
        <rFont val="맑은 고딕"/>
        <family val="3"/>
        <charset val="129"/>
      </rPr>
      <t>)</t>
    </r>
    <r>
      <rPr>
        <sz val="11"/>
        <color rgb="FF808080"/>
        <rFont val="Noto Sans CJK SC"/>
        <family val="2"/>
      </rPr>
      <t>라 비지배지분이 있는 기업에서는 값이 약간 다릅니다</t>
    </r>
    <r>
      <rPr>
        <sz val="11"/>
        <color rgb="FF808080"/>
        <rFont val="맑은 고딕"/>
        <family val="3"/>
        <charset val="129"/>
      </rPr>
      <t>.</t>
    </r>
  </si>
  <si>
    <t>검증: 2-1 시트 자본총계 입력 여부</t>
  </si>
  <si>
    <r>
      <rPr>
        <b/>
        <sz val="11"/>
        <color rgb="FF1F3864"/>
        <rFont val="맑은 고딕"/>
        <family val="3"/>
        <charset val="129"/>
      </rPr>
      <t xml:space="preserve">■ PBR </t>
    </r>
    <r>
      <rPr>
        <b/>
        <sz val="11"/>
        <color rgb="FF1F3864"/>
        <rFont val="Noto Sans CJK SC"/>
        <family val="2"/>
      </rPr>
      <t>추이 비교</t>
    </r>
  </si>
  <si>
    <t>연도</t>
  </si>
  <si>
    <t>대상기업 PBR</t>
  </si>
  <si>
    <t>비교기업 PBR</t>
  </si>
  <si>
    <t>차이
(대상 − 비교)</t>
  </si>
  <si>
    <t>상대 PBR
(대상 ÷ 비교)</t>
  </si>
  <si>
    <t>대상기업
시총 − 지배지분
(백만원)</t>
  </si>
  <si>
    <t>비교기업
시총 − 지배지분
(백만원)</t>
  </si>
  <si>
    <r>
      <rPr>
        <sz val="11"/>
        <color rgb="FF808080"/>
        <rFont val="맑은 고딕"/>
        <family val="3"/>
        <charset val="129"/>
      </rPr>
      <t>'</t>
    </r>
    <r>
      <rPr>
        <sz val="11"/>
        <color rgb="FF808080"/>
        <rFont val="Noto Sans CJK SC"/>
        <family val="2"/>
      </rPr>
      <t>시총 − 지배지분</t>
    </r>
    <r>
      <rPr>
        <sz val="11"/>
        <color rgb="FF808080"/>
        <rFont val="맑은 고딕"/>
        <family val="3"/>
        <charset val="129"/>
      </rPr>
      <t>'</t>
    </r>
    <r>
      <rPr>
        <sz val="11"/>
        <color rgb="FF808080"/>
        <rFont val="Noto Sans CJK SC"/>
        <family val="2"/>
      </rPr>
      <t>은 시장이 재무상태표 밖에서 인정</t>
    </r>
    <r>
      <rPr>
        <sz val="11"/>
        <color rgb="FF808080"/>
        <rFont val="맑은 고딕"/>
        <family val="3"/>
        <charset val="129"/>
      </rPr>
      <t>(</t>
    </r>
    <r>
      <rPr>
        <sz val="11"/>
        <color rgb="FF808080"/>
        <rFont val="Noto Sans CJK SC"/>
        <family val="2"/>
      </rPr>
      <t>또는 차감</t>
    </r>
    <r>
      <rPr>
        <sz val="11"/>
        <color rgb="FF808080"/>
        <rFont val="맑은 고딕"/>
        <family val="3"/>
        <charset val="129"/>
      </rPr>
      <t>)</t>
    </r>
    <r>
      <rPr>
        <sz val="11"/>
        <color rgb="FF808080"/>
        <rFont val="Noto Sans CJK SC"/>
        <family val="2"/>
      </rPr>
      <t>하는 금액입니다</t>
    </r>
    <r>
      <rPr>
        <sz val="11"/>
        <color rgb="FF808080"/>
        <rFont val="맑은 고딕"/>
        <family val="3"/>
        <charset val="129"/>
      </rPr>
      <t>.</t>
    </r>
  </si>
  <si>
    <t>양(+)이면 장부에 없는 자산·미래 초과이익을, 음(−)이면 장부에 없는 부채나 장부가치의 과대계상을 시장이 보고 있다는 뜻입니다.</t>
  </si>
  <si>
    <r>
      <rPr>
        <sz val="11"/>
        <color rgb="FF808080"/>
        <rFont val="맑은 고딕"/>
        <family val="3"/>
        <charset val="129"/>
      </rPr>
      <t>2</t>
    </r>
    <r>
      <rPr>
        <sz val="11"/>
        <color rgb="FF808080"/>
        <rFont val="Noto Sans CJK SC"/>
        <family val="2"/>
      </rPr>
      <t>장에서 찾아낸 잠재적 자산</t>
    </r>
    <r>
      <rPr>
        <sz val="11"/>
        <color rgb="FF808080"/>
        <rFont val="맑은 고딕"/>
        <family val="3"/>
        <charset val="129"/>
      </rPr>
      <t>·</t>
    </r>
    <r>
      <rPr>
        <sz val="11"/>
        <color rgb="FF808080"/>
        <rFont val="Noto Sans CJK SC"/>
        <family val="2"/>
      </rPr>
      <t>부채</t>
    </r>
    <r>
      <rPr>
        <sz val="11"/>
        <color rgb="FF808080"/>
        <rFont val="맑은 고딕"/>
        <family val="3"/>
        <charset val="129"/>
      </rPr>
      <t xml:space="preserve">(2-2 </t>
    </r>
    <r>
      <rPr>
        <sz val="11"/>
        <color rgb="FF808080"/>
        <rFont val="Noto Sans CJK SC"/>
        <family val="2"/>
      </rPr>
      <t xml:space="preserve">시트 </t>
    </r>
    <r>
      <rPr>
        <sz val="11"/>
        <color rgb="FF808080"/>
        <rFont val="맑은 고딕"/>
        <family val="3"/>
        <charset val="129"/>
      </rPr>
      <t>10·11</t>
    </r>
    <r>
      <rPr>
        <sz val="11"/>
        <color rgb="FF808080"/>
        <rFont val="Noto Sans CJK SC"/>
        <family val="2"/>
      </rPr>
      <t>행</t>
    </r>
    <r>
      <rPr>
        <sz val="11"/>
        <color rgb="FF808080"/>
        <rFont val="맑은 고딕"/>
        <family val="3"/>
        <charset val="129"/>
      </rPr>
      <t>)</t>
    </r>
    <r>
      <rPr>
        <sz val="11"/>
        <color rgb="FF808080"/>
        <rFont val="Noto Sans CJK SC"/>
        <family val="2"/>
      </rPr>
      <t xml:space="preserve">로 이 금액의 몇 </t>
    </r>
    <r>
      <rPr>
        <sz val="11"/>
        <color rgb="FF808080"/>
        <rFont val="맑은 고딕"/>
        <family val="3"/>
        <charset val="129"/>
      </rPr>
      <t>%</t>
    </r>
    <r>
      <rPr>
        <sz val="11"/>
        <color rgb="FF808080"/>
        <rFont val="Noto Sans CJK SC"/>
        <family val="2"/>
      </rPr>
      <t>가 설명되는지 후반부 파일의 초과이익모형 시트에서 확인합니다</t>
    </r>
    <r>
      <rPr>
        <sz val="11"/>
        <color rgb="FF808080"/>
        <rFont val="맑은 고딕"/>
        <family val="3"/>
        <charset val="129"/>
      </rPr>
      <t>.</t>
    </r>
  </si>
  <si>
    <t>차트는 아래에 자동으로 그려집니다. 데이터를 입력하면 선이 나타납니다.</t>
  </si>
  <si>
    <r>
      <rPr>
        <b/>
        <sz val="11"/>
        <color rgb="FF000000"/>
        <rFont val="맑은 고딕"/>
        <family val="3"/>
        <charset val="129"/>
      </rPr>
      <t>6</t>
    </r>
    <r>
      <rPr>
        <b/>
        <sz val="11"/>
        <color rgb="FF000000"/>
        <rFont val="Noto Sans CJK SC"/>
        <family val="2"/>
      </rPr>
      <t>개년 평균</t>
    </r>
  </si>
  <si>
    <t>최대</t>
  </si>
  <si>
    <t>최소</t>
  </si>
  <si>
    <t>■ 해석 (Chapter Report에 옮겨 적을 내용)</t>
  </si>
  <si>
    <r>
      <rPr>
        <b/>
        <sz val="11"/>
        <color rgb="FF000000"/>
        <rFont val="맑은 고딕"/>
        <family val="3"/>
        <charset val="129"/>
      </rPr>
      <t xml:space="preserve">(1) </t>
    </r>
    <r>
      <rPr>
        <b/>
        <sz val="11"/>
        <color rgb="FF000000"/>
        <rFont val="Noto Sans CJK SC"/>
        <family val="2"/>
      </rPr>
      <t xml:space="preserve">대상기업 </t>
    </r>
    <r>
      <rPr>
        <b/>
        <sz val="11"/>
        <color rgb="FF000000"/>
        <rFont val="맑은 고딕"/>
        <family val="3"/>
        <charset val="129"/>
      </rPr>
      <t>PBR</t>
    </r>
    <r>
      <rPr>
        <b/>
        <sz val="11"/>
        <color rgb="FF000000"/>
        <rFont val="Noto Sans CJK SC"/>
        <family val="2"/>
      </rPr>
      <t xml:space="preserve">이 </t>
    </r>
    <r>
      <rPr>
        <b/>
        <sz val="11"/>
        <color rgb="FF000000"/>
        <rFont val="맑은 고딕"/>
        <family val="3"/>
        <charset val="129"/>
      </rPr>
      <t>1</t>
    </r>
    <r>
      <rPr>
        <b/>
        <sz val="11"/>
        <color rgb="FF000000"/>
        <rFont val="Noto Sans CJK SC"/>
        <family val="2"/>
      </rPr>
      <t>보다 크</t>
    </r>
    <r>
      <rPr>
        <b/>
        <sz val="11"/>
        <color rgb="FF000000"/>
        <rFont val="맑은 고딕"/>
        <family val="3"/>
        <charset val="129"/>
      </rPr>
      <t>(</t>
    </r>
    <r>
      <rPr>
        <b/>
        <sz val="11"/>
        <color rgb="FF000000"/>
        <rFont val="Noto Sans CJK SC"/>
        <family val="2"/>
      </rPr>
      <t>작</t>
    </r>
    <r>
      <rPr>
        <b/>
        <sz val="11"/>
        <color rgb="FF000000"/>
        <rFont val="맑은 고딕"/>
        <family val="3"/>
        <charset val="129"/>
      </rPr>
      <t>)</t>
    </r>
    <r>
      <rPr>
        <b/>
        <sz val="11"/>
        <color rgb="FF000000"/>
        <rFont val="Noto Sans CJK SC"/>
        <family val="2"/>
      </rPr>
      <t>게 유지되는 이유를 재무상태표에 없는 자산</t>
    </r>
    <r>
      <rPr>
        <b/>
        <sz val="11"/>
        <color rgb="FF000000"/>
        <rFont val="맑은 고딕"/>
        <family val="3"/>
        <charset val="129"/>
      </rPr>
      <t>(</t>
    </r>
    <r>
      <rPr>
        <b/>
        <sz val="11"/>
        <color rgb="FF000000"/>
        <rFont val="Noto Sans CJK SC"/>
        <family val="2"/>
      </rPr>
      <t>브랜드</t>
    </r>
    <r>
      <rPr>
        <b/>
        <sz val="11"/>
        <color rgb="FF000000"/>
        <rFont val="맑은 고딕"/>
        <family val="3"/>
        <charset val="129"/>
      </rPr>
      <t>·</t>
    </r>
    <r>
      <rPr>
        <b/>
        <sz val="11"/>
        <color rgb="FF000000"/>
        <rFont val="Noto Sans CJK SC"/>
        <family val="2"/>
      </rPr>
      <t>기술</t>
    </r>
    <r>
      <rPr>
        <b/>
        <sz val="11"/>
        <color rgb="FF000000"/>
        <rFont val="맑은 고딕"/>
        <family val="3"/>
        <charset val="129"/>
      </rPr>
      <t xml:space="preserve">·R&amp;D </t>
    </r>
    <r>
      <rPr>
        <b/>
        <sz val="11"/>
        <color rgb="FF000000"/>
        <rFont val="Noto Sans CJK SC"/>
        <family val="2"/>
      </rPr>
      <t>등</t>
    </r>
    <r>
      <rPr>
        <b/>
        <sz val="11"/>
        <color rgb="FF000000"/>
        <rFont val="맑은 고딕"/>
        <family val="3"/>
        <charset val="129"/>
      </rPr>
      <t>)</t>
    </r>
    <r>
      <rPr>
        <b/>
        <sz val="11"/>
        <color rgb="FF000000"/>
        <rFont val="Noto Sans CJK SC"/>
        <family val="2"/>
      </rPr>
      <t>과 부채</t>
    </r>
    <r>
      <rPr>
        <b/>
        <sz val="11"/>
        <color rgb="FF000000"/>
        <rFont val="맑은 고딕"/>
        <family val="3"/>
        <charset val="129"/>
      </rPr>
      <t>(</t>
    </r>
    <r>
      <rPr>
        <b/>
        <sz val="11"/>
        <color rgb="FF000000"/>
        <rFont val="Noto Sans CJK SC"/>
        <family val="2"/>
      </rPr>
      <t>우발부채</t>
    </r>
    <r>
      <rPr>
        <b/>
        <sz val="11"/>
        <color rgb="FF000000"/>
        <rFont val="맑은 고딕"/>
        <family val="3"/>
        <charset val="129"/>
      </rPr>
      <t>·</t>
    </r>
    <r>
      <rPr>
        <b/>
        <sz val="11"/>
        <color rgb="FF000000"/>
        <rFont val="Noto Sans CJK SC"/>
        <family val="2"/>
      </rPr>
      <t>지급보증 등</t>
    </r>
    <r>
      <rPr>
        <b/>
        <sz val="11"/>
        <color rgb="FF000000"/>
        <rFont val="맑은 고딕"/>
        <family val="3"/>
        <charset val="129"/>
      </rPr>
      <t>)</t>
    </r>
    <r>
      <rPr>
        <b/>
        <sz val="11"/>
        <color rgb="FF000000"/>
        <rFont val="Noto Sans CJK SC"/>
        <family val="2"/>
      </rPr>
      <t>의 관점에서 설명해 보세요</t>
    </r>
    <r>
      <rPr>
        <b/>
        <sz val="11"/>
        <color rgb="FF000000"/>
        <rFont val="맑은 고딕"/>
        <family val="3"/>
        <charset val="129"/>
      </rPr>
      <t>.</t>
    </r>
  </si>
  <si>
    <r>
      <rPr>
        <b/>
        <sz val="11"/>
        <color rgb="FF000000"/>
        <rFont val="맑은 고딕"/>
        <family val="3"/>
        <charset val="129"/>
      </rPr>
      <t xml:space="preserve">(2) </t>
    </r>
    <r>
      <rPr>
        <b/>
        <sz val="11"/>
        <color rgb="FF000000"/>
        <rFont val="Noto Sans CJK SC"/>
        <family val="2"/>
      </rPr>
      <t xml:space="preserve">두 기업의 </t>
    </r>
    <r>
      <rPr>
        <b/>
        <sz val="11"/>
        <color rgb="FF000000"/>
        <rFont val="맑은 고딕"/>
        <family val="3"/>
        <charset val="129"/>
      </rPr>
      <t xml:space="preserve">PBR </t>
    </r>
    <r>
      <rPr>
        <b/>
        <sz val="11"/>
        <color rgb="FF000000"/>
        <rFont val="Noto Sans CJK SC"/>
        <family val="2"/>
      </rPr>
      <t>차이</t>
    </r>
    <r>
      <rPr>
        <b/>
        <sz val="11"/>
        <color rgb="FF000000"/>
        <rFont val="맑은 고딕"/>
        <family val="3"/>
        <charset val="129"/>
      </rPr>
      <t>(F</t>
    </r>
    <r>
      <rPr>
        <b/>
        <sz val="11"/>
        <color rgb="FF000000"/>
        <rFont val="Noto Sans CJK SC"/>
        <family val="2"/>
      </rPr>
      <t>열</t>
    </r>
    <r>
      <rPr>
        <b/>
        <sz val="11"/>
        <color rgb="FF000000"/>
        <rFont val="맑은 고딕"/>
        <family val="3"/>
        <charset val="129"/>
      </rPr>
      <t>)</t>
    </r>
    <r>
      <rPr>
        <b/>
        <sz val="11"/>
        <color rgb="FF000000"/>
        <rFont val="Noto Sans CJK SC"/>
        <family val="2"/>
      </rPr>
      <t xml:space="preserve">와 상대 </t>
    </r>
    <r>
      <rPr>
        <b/>
        <sz val="11"/>
        <color rgb="FF000000"/>
        <rFont val="맑은 고딕"/>
        <family val="3"/>
        <charset val="129"/>
      </rPr>
      <t>PBR(G</t>
    </r>
    <r>
      <rPr>
        <b/>
        <sz val="11"/>
        <color rgb="FF000000"/>
        <rFont val="Noto Sans CJK SC"/>
        <family val="2"/>
      </rPr>
      <t>열</t>
    </r>
    <r>
      <rPr>
        <b/>
        <sz val="11"/>
        <color rgb="FF000000"/>
        <rFont val="맑은 고딕"/>
        <family val="3"/>
        <charset val="129"/>
      </rPr>
      <t>)</t>
    </r>
    <r>
      <rPr>
        <b/>
        <sz val="11"/>
        <color rgb="FF000000"/>
        <rFont val="Noto Sans CJK SC"/>
        <family val="2"/>
      </rPr>
      <t xml:space="preserve">이 </t>
    </r>
    <r>
      <rPr>
        <b/>
        <sz val="11"/>
        <color rgb="FF000000"/>
        <rFont val="맑은 고딕"/>
        <family val="3"/>
        <charset val="129"/>
      </rPr>
      <t>6</t>
    </r>
    <r>
      <rPr>
        <b/>
        <sz val="11"/>
        <color rgb="FF000000"/>
        <rFont val="Noto Sans CJK SC"/>
        <family val="2"/>
      </rPr>
      <t>년 동안 어떻게 움직였나요</t>
    </r>
    <r>
      <rPr>
        <b/>
        <sz val="11"/>
        <color rgb="FF000000"/>
        <rFont val="맑은 고딕"/>
        <family val="3"/>
        <charset val="129"/>
      </rPr>
      <t xml:space="preserve">? </t>
    </r>
    <r>
      <rPr>
        <b/>
        <sz val="11"/>
        <color rgb="FF000000"/>
        <rFont val="Noto Sans CJK SC"/>
        <family val="2"/>
      </rPr>
      <t>같이 움직였다면 산업</t>
    </r>
    <r>
      <rPr>
        <b/>
        <sz val="11"/>
        <color rgb="FF000000"/>
        <rFont val="맑은 고딕"/>
        <family val="3"/>
        <charset val="129"/>
      </rPr>
      <t>(</t>
    </r>
    <r>
      <rPr>
        <b/>
        <sz val="11"/>
        <color rgb="FF000000"/>
        <rFont val="Noto Sans CJK SC"/>
        <family val="2"/>
      </rPr>
      <t>톡신</t>
    </r>
    <r>
      <rPr>
        <b/>
        <sz val="11"/>
        <color rgb="FF000000"/>
        <rFont val="맑은 고딕"/>
        <family val="3"/>
        <charset val="129"/>
      </rPr>
      <t>·</t>
    </r>
    <r>
      <rPr>
        <b/>
        <sz val="11"/>
        <color rgb="FF000000"/>
        <rFont val="Noto Sans CJK SC"/>
        <family val="2"/>
      </rPr>
      <t>필러 수요와 수출 사이클</t>
    </r>
    <r>
      <rPr>
        <b/>
        <sz val="11"/>
        <color rgb="FF000000"/>
        <rFont val="맑은 고딕"/>
        <family val="3"/>
        <charset val="129"/>
      </rPr>
      <t xml:space="preserve">, </t>
    </r>
    <r>
      <rPr>
        <b/>
        <sz val="11"/>
        <color rgb="FF000000"/>
        <rFont val="Noto Sans CJK SC"/>
        <family val="2"/>
      </rPr>
      <t>규제</t>
    </r>
    <r>
      <rPr>
        <b/>
        <sz val="11"/>
        <color rgb="FF000000"/>
        <rFont val="맑은 고딕"/>
        <family val="3"/>
        <charset val="129"/>
      </rPr>
      <t xml:space="preserve">) </t>
    </r>
    <r>
      <rPr>
        <b/>
        <sz val="11"/>
        <color rgb="FF000000"/>
        <rFont val="Noto Sans CJK SC"/>
        <family val="2"/>
      </rPr>
      <t>요인</t>
    </r>
    <r>
      <rPr>
        <b/>
        <sz val="11"/>
        <color rgb="FF000000"/>
        <rFont val="맑은 고딕"/>
        <family val="3"/>
        <charset val="129"/>
      </rPr>
      <t xml:space="preserve">, </t>
    </r>
    <r>
      <rPr>
        <b/>
        <sz val="11"/>
        <color rgb="FF000000"/>
        <rFont val="Noto Sans CJK SC"/>
        <family val="2"/>
      </rPr>
      <t>따로 움직였다면 기업 고유 요인</t>
    </r>
    <r>
      <rPr>
        <b/>
        <sz val="11"/>
        <color rgb="FF000000"/>
        <rFont val="맑은 고딕"/>
        <family val="3"/>
        <charset val="129"/>
      </rPr>
      <t>(</t>
    </r>
    <r>
      <rPr>
        <b/>
        <sz val="11"/>
        <color rgb="FF000000"/>
        <rFont val="Noto Sans CJK SC"/>
        <family val="2"/>
      </rPr>
      <t>소송</t>
    </r>
    <r>
      <rPr>
        <b/>
        <sz val="11"/>
        <color rgb="FF000000"/>
        <rFont val="맑은 고딕"/>
        <family val="3"/>
        <charset val="129"/>
      </rPr>
      <t>·</t>
    </r>
    <r>
      <rPr>
        <b/>
        <sz val="11"/>
        <color rgb="FF000000"/>
        <rFont val="Noto Sans CJK SC"/>
        <family val="2"/>
      </rPr>
      <t>허가</t>
    </r>
    <r>
      <rPr>
        <b/>
        <sz val="11"/>
        <color rgb="FF000000"/>
        <rFont val="맑은 고딕"/>
        <family val="3"/>
        <charset val="129"/>
      </rPr>
      <t>·</t>
    </r>
    <r>
      <rPr>
        <b/>
        <sz val="11"/>
        <color rgb="FF000000"/>
        <rFont val="Noto Sans CJK SC"/>
        <family val="2"/>
      </rPr>
      <t>지배구조</t>
    </r>
    <r>
      <rPr>
        <b/>
        <sz val="11"/>
        <color rgb="FF000000"/>
        <rFont val="맑은 고딕"/>
        <family val="3"/>
        <charset val="129"/>
      </rPr>
      <t>)</t>
    </r>
    <r>
      <rPr>
        <b/>
        <sz val="11"/>
        <color rgb="FF000000"/>
        <rFont val="Noto Sans CJK SC"/>
        <family val="2"/>
      </rPr>
      <t>입니다</t>
    </r>
    <r>
      <rPr>
        <b/>
        <sz val="11"/>
        <color rgb="FF000000"/>
        <rFont val="맑은 고딕"/>
        <family val="3"/>
        <charset val="129"/>
      </rPr>
      <t>.</t>
    </r>
  </si>
  <si>
    <r>
      <rPr>
        <b/>
        <sz val="11"/>
        <color rgb="FF000000"/>
        <rFont val="맑은 고딕"/>
        <family val="3"/>
        <charset val="129"/>
      </rPr>
      <t>(3)PBR</t>
    </r>
    <r>
      <rPr>
        <b/>
        <sz val="11"/>
        <color rgb="FF000000"/>
        <rFont val="Noto Sans CJK SC"/>
        <family val="2"/>
      </rPr>
      <t>이 크게 변한 해를 고르고</t>
    </r>
    <r>
      <rPr>
        <b/>
        <sz val="11"/>
        <color rgb="FF000000"/>
        <rFont val="맑은 고딕"/>
        <family val="3"/>
        <charset val="129"/>
      </rPr>
      <t xml:space="preserve">, </t>
    </r>
    <r>
      <rPr>
        <b/>
        <sz val="11"/>
        <color rgb="FF000000"/>
        <rFont val="Noto Sans CJK SC"/>
        <family val="2"/>
      </rPr>
      <t xml:space="preserve">그 해의 </t>
    </r>
    <r>
      <rPr>
        <b/>
        <sz val="11"/>
        <color rgb="FF000000"/>
        <rFont val="맑은 고딕"/>
        <family val="3"/>
        <charset val="129"/>
      </rPr>
      <t xml:space="preserve">2-1 </t>
    </r>
    <r>
      <rPr>
        <b/>
        <sz val="11"/>
        <color rgb="FF000000"/>
        <rFont val="Noto Sans CJK SC"/>
        <family val="2"/>
      </rPr>
      <t>시트 분석적 검토</t>
    </r>
    <r>
      <rPr>
        <b/>
        <sz val="11"/>
        <color rgb="FF000000"/>
        <rFont val="맑은 고딕"/>
        <family val="3"/>
        <charset val="129"/>
      </rPr>
      <t xml:space="preserve">(30% </t>
    </r>
    <r>
      <rPr>
        <b/>
        <sz val="11"/>
        <color rgb="FF000000"/>
        <rFont val="Noto Sans CJK SC"/>
        <family val="2"/>
      </rPr>
      <t>이상 변동 계정</t>
    </r>
    <r>
      <rPr>
        <b/>
        <sz val="11"/>
        <color rgb="FF000000"/>
        <rFont val="맑은 고딕"/>
        <family val="3"/>
        <charset val="129"/>
      </rPr>
      <t>)</t>
    </r>
    <r>
      <rPr>
        <b/>
        <sz val="11"/>
        <color rgb="FF000000"/>
        <rFont val="Noto Sans CJK SC"/>
        <family val="2"/>
      </rPr>
      <t>와 연결되는 항목이 있는지 찾아보세요</t>
    </r>
    <r>
      <rPr>
        <b/>
        <sz val="11"/>
        <color rgb="FF000000"/>
        <rFont val="맑은 고딕"/>
        <family val="3"/>
        <charset val="129"/>
      </rPr>
      <t>.</t>
    </r>
  </si>
  <si>
    <t>자료 출처 (주가·주식수 조회처 · 조회일자)</t>
  </si>
  <si>
    <r>
      <rPr>
        <b/>
        <sz val="16"/>
        <color rgb="FF1F3864"/>
        <rFont val="맑은 고딕"/>
        <family val="3"/>
        <charset val="129"/>
      </rPr>
      <t>[3</t>
    </r>
    <r>
      <rPr>
        <b/>
        <sz val="16"/>
        <color rgb="FF1F3864"/>
        <rFont val="Noto Sans CJK SC"/>
        <family val="2"/>
      </rPr>
      <t>장 과제 ①</t>
    </r>
    <r>
      <rPr>
        <b/>
        <sz val="16"/>
        <color rgb="FF1F3864"/>
        <rFont val="맑은 고딕"/>
        <family val="3"/>
        <charset val="129"/>
      </rPr>
      <t xml:space="preserve">] </t>
    </r>
    <r>
      <rPr>
        <b/>
        <sz val="16"/>
        <color rgb="FF1F3864"/>
        <rFont val="Noto Sans CJK SC"/>
        <family val="2"/>
      </rPr>
      <t xml:space="preserve">손익계산서 입력과 공통형 분석 </t>
    </r>
    <r>
      <rPr>
        <b/>
        <sz val="16"/>
        <color rgb="FF1F3864"/>
        <rFont val="맑은 고딕"/>
        <family val="3"/>
        <charset val="129"/>
      </rPr>
      <t>(6</t>
    </r>
    <r>
      <rPr>
        <b/>
        <sz val="16"/>
        <color rgb="FF1F3864"/>
        <rFont val="Noto Sans CJK SC"/>
        <family val="2"/>
      </rPr>
      <t>개년</t>
    </r>
    <r>
      <rPr>
        <b/>
        <sz val="16"/>
        <color rgb="FF1F3864"/>
        <rFont val="맑은 고딕"/>
        <family val="3"/>
        <charset val="129"/>
      </rPr>
      <t xml:space="preserve">, </t>
    </r>
    <r>
      <rPr>
        <b/>
        <sz val="16"/>
        <color rgb="FF1F3864"/>
        <rFont val="Noto Sans CJK SC"/>
        <family val="2"/>
      </rPr>
      <t>연결</t>
    </r>
    <r>
      <rPr>
        <b/>
        <sz val="16"/>
        <color rgb="FF1F3864"/>
        <rFont val="맑은 고딕"/>
        <family val="3"/>
        <charset val="129"/>
      </rPr>
      <t>)</t>
    </r>
  </si>
  <si>
    <t>단위: 백만원 (EPS는 원). 사업보고서 연결포괄손익계산서에서 옮겨 적습니다. 노란 칸은 입력, 회색은 수식. 공통형은 매출액 = 100%. 법인세비용은 세전이익 − 계속영업순이익으로 역산하므로 중단영업손익이 있으면 반드시 입력하세요.</t>
  </si>
  <si>
    <t>대상기업 (메디톡스)</t>
  </si>
  <si>
    <t>비교기업 (휴젤)</t>
  </si>
  <si>
    <t>공통형 (매출액 = 100%)</t>
  </si>
  <si>
    <t>항목 (연결손익계산서)</t>
  </si>
  <si>
    <t>매출액</t>
  </si>
  <si>
    <t>매출원가</t>
  </si>
  <si>
    <t>매출총이익 (= 매출액 − 매출원가)</t>
  </si>
  <si>
    <t>매출총이익</t>
  </si>
  <si>
    <t>판매비와관리비</t>
  </si>
  <si>
    <t>영업이익 (= 매출총이익 − 판관비)</t>
  </si>
  <si>
    <t>영업이익</t>
  </si>
  <si>
    <t>기타수익</t>
  </si>
  <si>
    <t>기타비용</t>
  </si>
  <si>
    <t>금융수익</t>
  </si>
  <si>
    <t>금융원가(금융비용)</t>
  </si>
  <si>
    <t>금융비용</t>
  </si>
  <si>
    <t>지분법손익</t>
  </si>
  <si>
    <t>영업외손익 합계 (= 기타수익 − 기타비용 + 금융수익 − 금융원가 + 지분법손익)</t>
  </si>
  <si>
    <t>기타영업외손익 순액</t>
  </si>
  <si>
    <t>법인세비용차감전순이익</t>
  </si>
  <si>
    <t>법인세비용 (= 세전이익 − 계속영업순이익)</t>
  </si>
  <si>
    <t>법인세비용</t>
  </si>
  <si>
    <t>중단영업손익 (세후, 해당 없으면 0)</t>
  </si>
  <si>
    <t>당기순이익</t>
  </si>
  <si>
    <t xml:space="preserve">  지배기업 소유주지분 순이익</t>
  </si>
  <si>
    <t>지배기업 소유주지분 순이익</t>
  </si>
  <si>
    <t xml:space="preserve">  비지배지분 순이익 (= 당기순이익 − 지배주주순이익)</t>
  </si>
  <si>
    <t>비지배지분 순이익</t>
  </si>
  <si>
    <t>기본주당이익 EPS (원, 보통주)</t>
  </si>
  <si>
    <t>희석주당이익 (원, 보통주)</t>
  </si>
  <si>
    <t>검증: 계산 영업이익 = 사업보고서 공시 영업이익</t>
  </si>
  <si>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참고</t>
    </r>
    <r>
      <rPr>
        <sz val="10"/>
        <color rgb="FF000000"/>
        <rFont val="맑은 고딕"/>
        <family val="3"/>
        <charset val="129"/>
      </rPr>
      <t xml:space="preserve">) R&amp;D ÷ </t>
    </r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 xml:space="preserve">광고비 </t>
    </r>
    <r>
      <rPr>
        <sz val="10"/>
        <color rgb="FF000000"/>
        <rFont val="맑은 고딕"/>
        <family val="3"/>
        <charset val="129"/>
      </rPr>
      <t xml:space="preserve">÷ </t>
    </r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 xml:space="preserve">감가상각비 </t>
    </r>
    <r>
      <rPr>
        <sz val="10"/>
        <color rgb="FF000000"/>
        <rFont val="맑은 고딕"/>
        <family val="3"/>
        <charset val="129"/>
      </rPr>
      <t xml:space="preserve">÷ </t>
    </r>
    <r>
      <rPr>
        <sz val="10"/>
        <color rgb="FF000000"/>
        <rFont val="Noto Sans CJK SC"/>
        <family val="2"/>
      </rPr>
      <t xml:space="preserve">매출액은 </t>
    </r>
    <r>
      <rPr>
        <sz val="10"/>
        <color rgb="FF000000"/>
        <rFont val="맑은 고딕"/>
        <family val="3"/>
        <charset val="129"/>
      </rPr>
      <t xml:space="preserve">3-2 </t>
    </r>
    <r>
      <rPr>
        <sz val="10"/>
        <color rgb="FF000000"/>
        <rFont val="Noto Sans CJK SC"/>
        <family val="2"/>
      </rPr>
      <t>시트에서</t>
    </r>
  </si>
  <si>
    <t>검증: 세전이익 = 영업이익 + 영업외손익 합계</t>
  </si>
  <si>
    <t>■ 전년 대비 증감율 (시계열 분석적 검토) — 30% 이상 변동은 빨간색으로 표시하고 원인을 주석에서 찾으세요 [Ch03 슬라이드 18]</t>
  </si>
  <si>
    <t>금융원가</t>
  </si>
  <si>
    <t>영업외손익 합계</t>
  </si>
  <si>
    <t>중단영업손익</t>
  </si>
  <si>
    <t>기본주당이익 EPS</t>
  </si>
  <si>
    <r>
      <rPr>
        <sz val="11"/>
        <color theme="1"/>
        <rFont val="Noto Sans CJK SC"/>
        <family val="2"/>
      </rPr>
      <t xml:space="preserve">교재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장 제</t>
    </r>
    <r>
      <rPr>
        <sz val="11"/>
        <color theme="1"/>
        <rFont val="Calibri"/>
        <family val="2"/>
        <charset val="1"/>
      </rPr>
      <t>7</t>
    </r>
    <r>
      <rPr>
        <sz val="11"/>
        <color theme="1"/>
        <rFont val="Noto Sans CJK SC"/>
        <family val="2"/>
      </rPr>
      <t>절</t>
    </r>
    <r>
      <rPr>
        <sz val="11"/>
        <color theme="1"/>
        <rFont val="Calibri"/>
        <family val="2"/>
        <charset val="1"/>
      </rPr>
      <t xml:space="preserve">: PER </t>
    </r>
    <r>
      <rPr>
        <sz val="11"/>
        <color theme="1"/>
        <rFont val="Noto Sans CJK SC"/>
        <family val="2"/>
      </rPr>
      <t xml:space="preserve">최저 그룹의 이후 </t>
    </r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Noto Sans CJK SC"/>
        <family val="2"/>
      </rPr>
      <t xml:space="preserve">개월 수익률이 최고 그룹보다 높았다 </t>
    </r>
    <r>
      <rPr>
        <sz val="11"/>
        <color theme="1"/>
        <rFont val="Calibri"/>
        <family val="2"/>
        <charset val="1"/>
      </rPr>
      <t>[</t>
    </r>
    <r>
      <rPr>
        <sz val="11"/>
        <color theme="1"/>
        <rFont val="Noto Sans CJK SC"/>
        <family val="2"/>
      </rPr>
      <t xml:space="preserve">슬라이드 </t>
    </r>
    <r>
      <rPr>
        <sz val="11"/>
        <color theme="1"/>
        <rFont val="Calibri"/>
        <family val="2"/>
        <charset val="1"/>
      </rPr>
      <t>20]. PER</t>
    </r>
    <r>
      <rPr>
        <sz val="11"/>
        <color theme="1"/>
        <rFont val="Noto Sans CJK SC"/>
        <family val="2"/>
      </rPr>
      <t>이 낮다고 곧 저평가는 아니지만 가격결정 오류의 후보라는 뜻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일회성 손익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소송 합의금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기술이전 수익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손상차손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 xml:space="preserve">이 큰 해의 </t>
    </r>
    <r>
      <rPr>
        <sz val="11"/>
        <color theme="1"/>
        <rFont val="Calibri"/>
        <family val="2"/>
        <charset val="1"/>
      </rPr>
      <t>EPS</t>
    </r>
    <r>
      <rPr>
        <sz val="11"/>
        <color theme="1"/>
        <rFont val="Noto Sans CJK SC"/>
        <family val="2"/>
      </rPr>
      <t xml:space="preserve">로 계산한 </t>
    </r>
    <r>
      <rPr>
        <sz val="11"/>
        <color theme="1"/>
        <rFont val="Calibri"/>
        <family val="2"/>
        <charset val="1"/>
      </rPr>
      <t>PER</t>
    </r>
    <r>
      <rPr>
        <sz val="11"/>
        <color theme="1"/>
        <rFont val="Noto Sans CJK SC"/>
        <family val="2"/>
      </rPr>
      <t xml:space="preserve">은 오독되기 쉬우므로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 xml:space="preserve">개년 평균 </t>
    </r>
    <r>
      <rPr>
        <sz val="11"/>
        <color theme="1"/>
        <rFont val="Calibri"/>
        <family val="2"/>
        <charset val="1"/>
      </rPr>
      <t>EPS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Calibri"/>
        <family val="2"/>
        <charset val="1"/>
      </rPr>
      <t>PSR</t>
    </r>
    <r>
      <rPr>
        <sz val="11"/>
        <color theme="1"/>
        <rFont val="Noto Sans CJK SC"/>
        <family val="2"/>
      </rPr>
      <t>을 함께 보세요</t>
    </r>
    <r>
      <rPr>
        <sz val="11"/>
        <color theme="1"/>
        <rFont val="Calibri"/>
        <family val="2"/>
        <charset val="1"/>
      </rPr>
      <t>.</t>
    </r>
  </si>
  <si>
    <t>희석주당이익</t>
  </si>
  <si>
    <r>
      <rPr>
        <b/>
        <sz val="11"/>
        <color rgb="FF1F3864"/>
        <rFont val="맑은 고딕"/>
        <family val="3"/>
        <charset val="129"/>
      </rPr>
      <t xml:space="preserve">■ PER </t>
    </r>
    <r>
      <rPr>
        <b/>
        <sz val="11"/>
        <color rgb="FF1F3864"/>
        <rFont val="Noto Sans CJK SC"/>
        <family val="2"/>
      </rPr>
      <t xml:space="preserve">계산 — 주가 </t>
    </r>
    <r>
      <rPr>
        <b/>
        <sz val="11"/>
        <color rgb="FF1F3864"/>
        <rFont val="맑은 고딕"/>
        <family val="3"/>
        <charset val="129"/>
      </rPr>
      <t xml:space="preserve">÷ </t>
    </r>
    <r>
      <rPr>
        <b/>
        <sz val="11"/>
        <color rgb="FF1F3864"/>
        <rFont val="Noto Sans CJK SC"/>
        <family val="2"/>
      </rPr>
      <t xml:space="preserve">주당순이익 </t>
    </r>
    <r>
      <rPr>
        <b/>
        <sz val="11"/>
        <color rgb="FF1F3864"/>
        <rFont val="맑은 고딕"/>
        <family val="3"/>
        <charset val="129"/>
      </rPr>
      <t>(</t>
    </r>
    <r>
      <rPr>
        <b/>
        <sz val="11"/>
        <color rgb="FF1F3864"/>
        <rFont val="Noto Sans CJK SC"/>
        <family val="2"/>
      </rPr>
      <t>결산일 종가</t>
    </r>
    <r>
      <rPr>
        <b/>
        <sz val="11"/>
        <color rgb="FF1F3864"/>
        <rFont val="맑은 고딕"/>
        <family val="3"/>
        <charset val="129"/>
      </rPr>
      <t>·</t>
    </r>
    <r>
      <rPr>
        <b/>
        <sz val="11"/>
        <color rgb="FF1F3864"/>
        <rFont val="Noto Sans CJK SC"/>
        <family val="2"/>
      </rPr>
      <t xml:space="preserve">유통주식수는 </t>
    </r>
    <r>
      <rPr>
        <b/>
        <sz val="11"/>
        <color rgb="FF1F3864"/>
        <rFont val="맑은 고딕"/>
        <family val="3"/>
        <charset val="129"/>
      </rPr>
      <t xml:space="preserve">2-3 </t>
    </r>
    <r>
      <rPr>
        <b/>
        <sz val="11"/>
        <color rgb="FF1F3864"/>
        <rFont val="Noto Sans CJK SC"/>
        <family val="2"/>
      </rPr>
      <t>시트에서 자동</t>
    </r>
    <r>
      <rPr>
        <b/>
        <sz val="11"/>
        <color rgb="FF1F3864"/>
        <rFont val="맑은 고딕"/>
        <family val="3"/>
        <charset val="129"/>
      </rPr>
      <t xml:space="preserve">) [Ch03 </t>
    </r>
    <r>
      <rPr>
        <b/>
        <sz val="11"/>
        <color rgb="FF1F3864"/>
        <rFont val="Noto Sans CJK SC"/>
        <family val="2"/>
      </rPr>
      <t>제</t>
    </r>
    <r>
      <rPr>
        <b/>
        <sz val="11"/>
        <color rgb="FF1F3864"/>
        <rFont val="맑은 고딕"/>
        <family val="3"/>
        <charset val="129"/>
      </rPr>
      <t>7</t>
    </r>
    <r>
      <rPr>
        <b/>
        <sz val="11"/>
        <color rgb="FF1F3864"/>
        <rFont val="Noto Sans CJK SC"/>
        <family val="2"/>
      </rPr>
      <t>절</t>
    </r>
    <r>
      <rPr>
        <b/>
        <sz val="11"/>
        <color rgb="FF1F3864"/>
        <rFont val="맑은 고딕"/>
        <family val="3"/>
        <charset val="129"/>
      </rPr>
      <t xml:space="preserve">, </t>
    </r>
    <r>
      <rPr>
        <b/>
        <sz val="11"/>
        <color rgb="FF1F3864"/>
        <rFont val="Noto Sans CJK SC"/>
        <family val="2"/>
      </rPr>
      <t xml:space="preserve">슬라이드 </t>
    </r>
    <r>
      <rPr>
        <b/>
        <sz val="11"/>
        <color rgb="FF1F3864"/>
        <rFont val="맑은 고딕"/>
        <family val="3"/>
        <charset val="129"/>
      </rPr>
      <t>19~20]</t>
    </r>
  </si>
  <si>
    <r>
      <rPr>
        <sz val="10"/>
        <color rgb="FF000000"/>
        <rFont val="맑은 고딕"/>
        <family val="3"/>
        <charset val="129"/>
      </rPr>
      <t>12</t>
    </r>
    <r>
      <rPr>
        <sz val="10"/>
        <color rgb="FF000000"/>
        <rFont val="Noto Sans CJK SC"/>
        <family val="2"/>
      </rPr>
      <t xml:space="preserve">월 말 종가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원</t>
    </r>
    <r>
      <rPr>
        <sz val="10"/>
        <color rgb="FF000000"/>
        <rFont val="맑은 고딕"/>
        <family val="3"/>
        <charset val="129"/>
      </rPr>
      <t xml:space="preserve">, 2-3 </t>
    </r>
    <r>
      <rPr>
        <sz val="10"/>
        <color rgb="FF000000"/>
        <rFont val="Noto Sans CJK SC"/>
        <family val="2"/>
      </rPr>
      <t xml:space="preserve">시트 </t>
    </r>
    <r>
      <rPr>
        <sz val="10"/>
        <color rgb="FF000000"/>
        <rFont val="맑은 고딕"/>
        <family val="3"/>
        <charset val="129"/>
      </rPr>
      <t>13</t>
    </r>
    <r>
      <rPr>
        <sz val="10"/>
        <color rgb="FF000000"/>
        <rFont val="Noto Sans CJK SC"/>
        <family val="2"/>
      </rPr>
      <t>행</t>
    </r>
    <r>
      <rPr>
        <sz val="10"/>
        <color rgb="FF000000"/>
        <rFont val="맑은 고딕"/>
        <family val="3"/>
        <charset val="129"/>
      </rPr>
      <t>)</t>
    </r>
  </si>
  <si>
    <t>지배기업 소유주지분 순이익 (17행)</t>
  </si>
  <si>
    <t>유통주식수 (천주, 2-3 시트 12행)</t>
  </si>
  <si>
    <t>주당순이익 EPS (원) = 지배주주순이익 × 1,000 ÷ 유통주식수</t>
  </si>
  <si>
    <t>후행 PER (trailing) = 종가 ÷ EPS</t>
  </si>
  <si>
    <t>교재 3장 제7절: PER 최저 그룹의 이후 12개월 수익률이 최고 그룹보다 높았다 [슬라이드 20]. PER이 낮다고 곧 저평가는 아니지만 가격결정 오류의 후보라는 뜻입니다. 두 기업 모두 코스닥 상장이므로 KOSPI 평균 PER보다 코스닥 제약·바이오 업종 평균과 비교하는 편이 적절한지 함께 검토하세요.</t>
  </si>
  <si>
    <t>주가매출액비율 PSR = 시가총액 ÷ 매출액 (적자 시 대체 지표)</t>
  </si>
  <si>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Noto Sans CJK SC"/>
        <family val="2"/>
      </rPr>
      <t xml:space="preserve">개년 평균 </t>
    </r>
    <r>
      <rPr>
        <sz val="10"/>
        <color rgb="FF000000"/>
        <rFont val="맑은 고딕"/>
        <family val="3"/>
        <charset val="129"/>
      </rPr>
      <t xml:space="preserve">EPS </t>
    </r>
    <r>
      <rPr>
        <sz val="10"/>
        <color rgb="FF000000"/>
        <rFont val="Noto Sans CJK SC"/>
        <family val="2"/>
      </rPr>
      <t xml:space="preserve">기준 </t>
    </r>
    <r>
      <rPr>
        <sz val="10"/>
        <color rgb="FF000000"/>
        <rFont val="맑은 고딕"/>
        <family val="3"/>
        <charset val="129"/>
      </rPr>
      <t xml:space="preserve">PER (average, </t>
    </r>
    <r>
      <rPr>
        <sz val="10"/>
        <color rgb="FF000000"/>
        <rFont val="Noto Sans CJK SC"/>
        <family val="2"/>
      </rPr>
      <t>일시적 변동 완화</t>
    </r>
    <r>
      <rPr>
        <sz val="10"/>
        <color rgb="FF000000"/>
        <rFont val="맑은 고딕"/>
        <family val="3"/>
        <charset val="129"/>
      </rPr>
      <t>)</t>
    </r>
  </si>
  <si>
    <t>—</t>
  </si>
  <si>
    <r>
      <rPr>
        <b/>
        <sz val="11"/>
        <color rgb="FF1F3864"/>
        <rFont val="맑은 고딕"/>
        <family val="3"/>
        <charset val="129"/>
      </rPr>
      <t>■ Chapter Report [</t>
    </r>
    <r>
      <rPr>
        <b/>
        <sz val="11"/>
        <color rgb="FF1F3864"/>
        <rFont val="Noto Sans CJK SC"/>
        <family val="2"/>
      </rPr>
      <t>제</t>
    </r>
    <r>
      <rPr>
        <b/>
        <sz val="11"/>
        <color rgb="FF1F3864"/>
        <rFont val="맑은 고딕"/>
        <family val="3"/>
        <charset val="129"/>
      </rPr>
      <t>3</t>
    </r>
    <r>
      <rPr>
        <b/>
        <sz val="11"/>
        <color rgb="FF1F3864"/>
        <rFont val="Noto Sans CJK SC"/>
        <family val="2"/>
      </rPr>
      <t xml:space="preserve">장 </t>
    </r>
    <r>
      <rPr>
        <b/>
        <sz val="11"/>
        <color rgb="FF1F3864"/>
        <rFont val="맑은 고딕"/>
        <family val="3"/>
        <charset val="129"/>
      </rPr>
      <t xml:space="preserve">· </t>
    </r>
    <r>
      <rPr>
        <b/>
        <sz val="11"/>
        <color rgb="FF1F3864"/>
        <rFont val="Noto Sans CJK SC"/>
        <family val="2"/>
      </rPr>
      <t>가치평가에 기반한 손익계산서 분석</t>
    </r>
    <r>
      <rPr>
        <b/>
        <sz val="11"/>
        <color rgb="FF1F3864"/>
        <rFont val="맑은 고딕"/>
        <family val="3"/>
        <charset val="129"/>
      </rPr>
      <t>]</t>
    </r>
  </si>
  <si>
    <t>교재 지시</t>
  </si>
  <si>
    <r>
      <rPr>
        <sz val="9"/>
        <color rgb="FF000000"/>
        <rFont val="맑은 고딕"/>
        <family val="3"/>
        <charset val="129"/>
      </rPr>
      <t>Chapter report</t>
    </r>
    <r>
      <rPr>
        <sz val="9"/>
        <color rgb="FF000000"/>
        <rFont val="Noto Sans CJK SC"/>
        <family val="2"/>
      </rPr>
      <t>에서는 대상기업의 손익계산서를 설명하도록 한다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>독자는 기업이 영위하는 사업을 충분히 이해한 후에 손익계산서에 대하여 깊이 알아보도록 한다</t>
    </r>
    <r>
      <rPr>
        <sz val="9"/>
        <color rgb="FF000000"/>
        <rFont val="맑은 고딕"/>
        <family val="3"/>
        <charset val="129"/>
      </rPr>
      <t>. (</t>
    </r>
    <r>
      <rPr>
        <sz val="9"/>
        <color rgb="FF000000"/>
        <rFont val="Noto Sans CJK SC"/>
        <family val="2"/>
      </rPr>
      <t xml:space="preserve">교재 </t>
    </r>
    <r>
      <rPr>
        <sz val="9"/>
        <color rgb="FF000000"/>
        <rFont val="맑은 고딕"/>
        <family val="3"/>
        <charset val="129"/>
      </rPr>
      <t>p.113)</t>
    </r>
  </si>
  <si>
    <t>교재가 제시한 중점</t>
  </si>
  <si>
    <t>아래 항목을 빠짐없이 다루어야 합니다. 노란 칸에 서술하세요.</t>
  </si>
  <si>
    <t>중점 1</t>
  </si>
  <si>
    <t>재무제표 주석에 포함되는 수익 및 비용항목에 관련된 중요한 회계원칙을 알아본다.</t>
  </si>
  <si>
    <t>→ 서술</t>
  </si>
  <si>
    <t>중점 2</t>
  </si>
  <si>
    <t>회사의 수익구성 및 비용의 구성을 분석한다.</t>
  </si>
  <si>
    <t>중점 3</t>
  </si>
  <si>
    <t>보수주의 회계원칙이 기업의 비용인식에 어떤 영향을 주는지 분석한다.</t>
  </si>
  <si>
    <t>중점 4</t>
  </si>
  <si>
    <t>기업의 주요 사업 이외의 수입원이 무엇이 있는지, 그 성격과 지속가능성 여부를 토론한다.</t>
  </si>
  <si>
    <t>중점 5</t>
  </si>
  <si>
    <t>주가순이익비율(PER)을 계산하고 가격결정 오류의 가능성을 토론한다.</t>
  </si>
  <si>
    <t>유의</t>
  </si>
  <si>
    <t>분석을 진행할 때 비교기업과의 비교 내용도 적절하게 포함하라. (교재)</t>
  </si>
  <si>
    <r>
      <rPr>
        <sz val="11"/>
        <color rgb="FF000000"/>
        <rFont val="맑은 고딕"/>
        <family val="3"/>
        <charset val="129"/>
      </rPr>
      <t>자기자본이익률</t>
    </r>
    <r>
      <rPr>
        <sz val="11"/>
        <color rgb="FF000000"/>
        <rFont val="Noto Sans CJK SC"/>
        <family val="2"/>
      </rPr>
      <t xml:space="preserve"> ROE (= </t>
    </r>
    <r>
      <rPr>
        <sz val="11"/>
        <color rgb="FF000000"/>
        <rFont val="맑은 고딕"/>
        <family val="3"/>
        <charset val="129"/>
      </rPr>
      <t>지배주주순이익</t>
    </r>
    <r>
      <rPr>
        <sz val="11"/>
        <color rgb="FF000000"/>
        <rFont val="Noto Sans CJK SC"/>
        <family val="2"/>
      </rPr>
      <t xml:space="preserve">(3-1) </t>
    </r>
    <r>
      <rPr>
        <sz val="11"/>
        <color rgb="FF000000"/>
        <rFont val="Noto Sans CJK SC"/>
        <family val="2"/>
        <charset val="129"/>
      </rPr>
      <t>÷</t>
    </r>
    <r>
      <rPr>
        <sz val="11"/>
        <color rgb="FF000000"/>
        <rFont val="Noto Sans CJK SC"/>
        <family val="2"/>
      </rPr>
      <t xml:space="preserve"> </t>
    </r>
    <r>
      <rPr>
        <sz val="11"/>
        <color rgb="FF000000"/>
        <rFont val="맑은 고딕"/>
        <family val="3"/>
        <charset val="129"/>
      </rPr>
      <t>평균</t>
    </r>
    <r>
      <rPr>
        <sz val="11"/>
        <color rgb="FF000000"/>
        <rFont val="Noto Sans CJK SC"/>
        <family val="2"/>
      </rPr>
      <t xml:space="preserve"> </t>
    </r>
    <r>
      <rPr>
        <sz val="11"/>
        <color rgb="FF000000"/>
        <rFont val="맑은 고딕"/>
        <family val="3"/>
        <charset val="129"/>
      </rPr>
      <t>지배기업</t>
    </r>
    <r>
      <rPr>
        <sz val="11"/>
        <color rgb="FF000000"/>
        <rFont val="Noto Sans CJK SC"/>
        <family val="2"/>
      </rPr>
      <t xml:space="preserve"> </t>
    </r>
    <r>
      <rPr>
        <sz val="11"/>
        <color rgb="FF000000"/>
        <rFont val="맑은 고딕"/>
        <family val="3"/>
        <charset val="129"/>
      </rPr>
      <t>소유주지분</t>
    </r>
    <r>
      <rPr>
        <sz val="11"/>
        <color rgb="FF000000"/>
        <rFont val="Noto Sans CJK SC"/>
        <family val="2"/>
      </rPr>
      <t xml:space="preserve">, 2021~ </t>
    </r>
    <r>
      <rPr>
        <sz val="11"/>
        <color rgb="FF000000"/>
        <rFont val="맑은 고딕"/>
        <family val="3"/>
        <charset val="129"/>
      </rPr>
      <t>수식</t>
    </r>
    <r>
      <rPr>
        <sz val="11"/>
        <color rgb="FF000000"/>
        <rFont val="Noto Sans CJK SC"/>
        <family val="2"/>
      </rPr>
      <t>)</t>
    </r>
    <phoneticPr fontId="63" type="noConversion"/>
  </si>
  <si>
    <t>PBR 감소</t>
    <phoneticPr fontId="63" type="noConversion"/>
  </si>
  <si>
    <t>—</t>
    <phoneticPr fontId="63" type="noConversion"/>
  </si>
  <si>
    <t>재무제표분석과 기업가치평가 ─ 기업분석 포트폴리오 (Chapter 1 ~ 3) · 학생용</t>
  </si>
  <si>
    <t xml:space="preserve"> 백복현·장궈화·최종학, 『재무제표분석과 기업가치평가』(박영사, 제4판) 1~3장 과제. 대상기업과 비교기업을 직접 고르고, DART 사업보고서와 주가자료로 노란 칸을 채워 나가세요. 금액 단위는 백만원, 주가는 원, 주식수는 천주로 통일합니다. 4장(현금흐름표) 이후 시트는 다음 시간에 배부합니다. 이 파일의 1~3장 입력이 이후 모든 분석의 기초가 되므로, 검증행에 OK가 뜨는지 반드시 확인하세요.</t>
  </si>
  <si>
    <t>1-1_기업선정</t>
  </si>
  <si>
    <t>[1장 과제①] 대상기업·비교기업을 고르고 DART 사업보고서에서 기본정보를 정리합니다.</t>
  </si>
  <si>
    <t>1-2_기업개요비교</t>
  </si>
  <si>
    <t>[1장 과제②] Chapter Report에 들어갈 산업·경쟁현황·제품·지배구조·경영자·감사인을 두 기업 나란히 비교합니다.</t>
  </si>
  <si>
    <t>1-3_주가추이_월별</t>
  </si>
  <si>
    <t>[1장 과제③] 최근 5년 60개월 월말 종가와 KOSPI로 수익률·지수화·그래프를 만들어 시장 대비 성과를 봅니다. (연도별 주가는 2-4 시트에 작성)</t>
  </si>
  <si>
    <t>1-4_보고서비교</t>
  </si>
  <si>
    <t>[1장 과제⑤] 증권사 애널리스트 보고서와 신용평가기관 보고서의 차이를 항목별로 대조합니다.</t>
  </si>
  <si>
    <t>1-5_애널리스트보고서</t>
  </si>
  <si>
    <t>1-6_신용평가보고서</t>
  </si>
  <si>
    <t>2-0_왜_이_실습인가</t>
  </si>
  <si>
    <t xml:space="preserve">[읽기] 2장 실습이 6·7·8·10·11장의 무엇에 쓰이는지 시트별 로드맵과 학기 지도. 각 항목에 강의노트 슬라이드 번호를 달았습니다. </t>
  </si>
  <si>
    <t>2-1_재무상태표</t>
  </si>
  <si>
    <t>[2장 과제①] 두 기업 6개년 재무상태표를 입력하고 오른쪽에 공통형 분석과 증감율(분석적 검토)을 작성합니다. 이후 모든 시트가 이 시트를 참조합니다.</t>
  </si>
  <si>
    <t>2-2_공통형_해석</t>
  </si>
  <si>
    <t>[2장 과제②] 공통형 분석 결과를 읽고 Chapter Report용 서술을 정리합니다.</t>
  </si>
  <si>
    <t>2-3_PBR_비교</t>
  </si>
  <si>
    <t>[2장 과제③] 기준년도 결산일 종가·유통주식수·지배기업 소유주지분으로 6개년 PBR을 계산·비교하고, 시가총액과 장부가치의 차이를 해석합니다.</t>
  </si>
  <si>
    <t>3-1_손익계산서</t>
  </si>
  <si>
    <t>[3장 과제①] 6개년 연결손익계산서를 입력하고 공통형(매출액 = 100%)·증감율을 계산합니다. PER·PBR을 함께 그린 그래프로 두 지표의 관계를 확인하고, Chapter Report 5개 항목을 서술합니다.</t>
  </si>
  <si>
    <t>4-1 이후</t>
  </si>
  <si>
    <t>현금흐름표·수익성·위험·이익의 질·재무예측·기업가치평가(DCF·초과이익모형·상대가치) 시트는 다음 시간에 배부합니다.</t>
  </si>
  <si>
    <t>숫자를 손으로 계산해서 적지 마세요. 2-3·3-1 시트는 2-1 시트의 값에 수식으로 연결되어 있어, 원자료를 고치면 결과가 함께 바뀝니다.</t>
  </si>
  <si>
    <t>1-3 시트는 월별(60개월) 주가를, 2-3 시트는 연도별(결산일) 주가를 다룹니다. PBR은 결산일 장부가치와 짝을 맞춰야 하므로 연도별 주가를 씁니다.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</si>
</sst>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m/d/yyyy"/>
    <numFmt numFmtId="177" formatCode="0.0%;\(0.0%\);\-"/>
    <numFmt numFmtId="178" formatCode="#,##0;\(#,##0\);\-"/>
    <numFmt numFmtId="179" formatCode="0.0%"/>
    <numFmt numFmtId="180" formatCode="0.0"/>
    <numFmt numFmtId="181" formatCode="\+0.0%;\(0.0%\);\-"/>
    <numFmt numFmtId="182" formatCode="0.00\x"/>
  </numFmts>
  <fonts count="75">
    <font>
      <sz val="11"/>
      <color theme="1"/>
      <name val="Calibri"/>
      <family val="2"/>
      <charset val="1"/>
    </font>
    <font>
      <sz val="10"/>
      <name val="맑은 고딕"/>
      <family val="3"/>
      <charset val="129"/>
    </font>
    <font>
      <b/>
      <sz val="16"/>
      <color rgb="FF1F3864"/>
      <name val="Noto Sans CJK SC"/>
      <family val="2"/>
      <charset val="1"/>
    </font>
    <font>
      <sz val="9"/>
      <color rgb="FF808080"/>
      <name val="Noto Sans CJK SC"/>
      <family val="2"/>
      <charset val="1"/>
    </font>
    <font>
      <sz val="11"/>
      <name val="맑은 고딕"/>
      <family val="3"/>
      <charset val="129"/>
    </font>
    <font>
      <b/>
      <sz val="11"/>
      <color rgb="FF1F3864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sz val="11"/>
      <color rgb="FF0000FF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C00000"/>
      <name val="Noto Sans CJK SC"/>
      <family val="2"/>
      <charset val="1"/>
    </font>
    <font>
      <b/>
      <sz val="11"/>
      <color rgb="FF000000"/>
      <name val="맑은 고딕"/>
      <family val="3"/>
      <charset val="129"/>
    </font>
    <font>
      <b/>
      <sz val="11"/>
      <color rgb="FF000000"/>
      <name val="Noto Sans CJK SC"/>
      <family val="2"/>
    </font>
    <font>
      <sz val="11"/>
      <color rgb="FF000000"/>
      <name val="맑은 고딕"/>
      <family val="3"/>
      <charset val="129"/>
    </font>
    <font>
      <sz val="11"/>
      <color rgb="FF000000"/>
      <name val="Noto Sans CJK SC"/>
      <family val="2"/>
    </font>
    <font>
      <b/>
      <sz val="11"/>
      <color rgb="FF000000"/>
      <name val="맑은 고딕"/>
      <family val="2"/>
      <charset val="1"/>
    </font>
    <font>
      <sz val="11"/>
      <color rgb="FF000000"/>
      <name val="맑은 고딕"/>
      <family val="2"/>
      <charset val="1"/>
    </font>
    <font>
      <b/>
      <sz val="11"/>
      <color rgb="FF000000"/>
      <name val="Noto Sans CJK SC"/>
      <family val="2"/>
      <charset val="1"/>
    </font>
    <font>
      <sz val="11"/>
      <color theme="1"/>
      <name val="맑은 고딕"/>
      <family val="2"/>
      <charset val="1"/>
    </font>
    <font>
      <b/>
      <sz val="16"/>
      <color rgb="FF1F3864"/>
      <name val="맑은 고딕"/>
      <family val="3"/>
      <charset val="129"/>
    </font>
    <font>
      <b/>
      <sz val="16"/>
      <color rgb="FF1F3864"/>
      <name val="Noto Sans CJK SC"/>
      <family val="2"/>
    </font>
    <font>
      <sz val="9"/>
      <color rgb="FF808080"/>
      <name val="맑은 고딕"/>
      <family val="3"/>
      <charset val="129"/>
    </font>
    <font>
      <sz val="9"/>
      <color rgb="FF808080"/>
      <name val="Noto Sans CJK SC"/>
      <family val="2"/>
    </font>
    <font>
      <sz val="11"/>
      <color rgb="FF808080"/>
      <name val="Noto Sans CJK SC"/>
      <family val="2"/>
      <charset val="1"/>
    </font>
    <font>
      <sz val="11"/>
      <color rgb="FF0000FF"/>
      <name val="맑은 고딕"/>
      <family val="3"/>
      <charset val="129"/>
    </font>
    <font>
      <sz val="11"/>
      <color rgb="FF808080"/>
      <name val="맑은 고딕"/>
      <family val="3"/>
      <charset val="129"/>
    </font>
    <font>
      <sz val="11"/>
      <color rgb="FF808080"/>
      <name val="Noto Sans CJK SC"/>
      <family val="2"/>
    </font>
    <font>
      <sz val="11"/>
      <color rgb="FF0000FF"/>
      <name val="Noto Sans CJK SC"/>
      <family val="2"/>
    </font>
    <font>
      <b/>
      <sz val="10"/>
      <color rgb="FFFFFFFF"/>
      <name val="Noto Sans CJK SC"/>
      <family val="2"/>
      <charset val="1"/>
    </font>
    <font>
      <sz val="9"/>
      <color rgb="FF595959"/>
      <name val="Noto Sans CJK SC"/>
      <family val="2"/>
      <charset val="1"/>
    </font>
    <font>
      <sz val="9"/>
      <color rgb="FF595959"/>
      <name val="맑은 고딕"/>
      <family val="3"/>
      <charset val="129"/>
    </font>
    <font>
      <sz val="11"/>
      <color rgb="FF0000FF"/>
      <name val="Noto Sans CJK SC"/>
      <family val="3"/>
      <charset val="129"/>
    </font>
    <font>
      <sz val="10"/>
      <name val="Noto Sans CJK SC"/>
      <family val="2"/>
    </font>
    <font>
      <sz val="10"/>
      <name val="Arial"/>
      <family val="2"/>
    </font>
    <font>
      <sz val="11"/>
      <color rgb="FF0000FF"/>
      <name val="맑은 고딕"/>
      <family val="2"/>
      <charset val="1"/>
    </font>
    <font>
      <sz val="10"/>
      <color rgb="FF000000"/>
      <name val="Noto Sans CJK SC"/>
      <family val="2"/>
      <charset val="1"/>
    </font>
    <font>
      <sz val="10"/>
      <color rgb="FF0000FF"/>
      <name val="맑은 고딕"/>
      <family val="3"/>
      <charset val="129"/>
    </font>
    <font>
      <sz val="10"/>
      <color rgb="FF0000FF"/>
      <name val="맑은 고딕"/>
      <family val="2"/>
      <charset val="1"/>
    </font>
    <font>
      <b/>
      <sz val="10"/>
      <color rgb="FFFFFFFF"/>
      <name val="맑은 고딕"/>
      <family val="3"/>
      <charset val="129"/>
    </font>
    <font>
      <b/>
      <sz val="10"/>
      <color rgb="FFFFFFFF"/>
      <name val="Noto Sans CJK SC"/>
      <family val="2"/>
    </font>
    <font>
      <sz val="10"/>
      <color rgb="FF000000"/>
      <name val="맑은 고딕"/>
      <family val="3"/>
      <charset val="129"/>
    </font>
    <font>
      <sz val="11"/>
      <color theme="1"/>
      <name val="Noto Sans CJK SC"/>
      <family val="2"/>
      <charset val="1"/>
    </font>
    <font>
      <sz val="9"/>
      <color rgb="FF808080"/>
      <name val="맑은 고딕"/>
      <family val="2"/>
      <charset val="129"/>
    </font>
    <font>
      <sz val="9"/>
      <color rgb="FF808080"/>
      <name val="맑은 고딕"/>
      <family val="2"/>
      <charset val="1"/>
    </font>
    <font>
      <b/>
      <sz val="11"/>
      <color rgb="FFFFFFFF"/>
      <name val="맑은 고딕"/>
      <family val="3"/>
      <charset val="129"/>
    </font>
    <font>
      <sz val="11"/>
      <color rgb="FF808080"/>
      <name val="맑은 고딕"/>
      <family val="2"/>
      <charset val="1"/>
    </font>
    <font>
      <b/>
      <sz val="11"/>
      <color rgb="FFC00000"/>
      <name val="맑은 고딕"/>
      <family val="2"/>
      <charset val="1"/>
    </font>
    <font>
      <b/>
      <sz val="11"/>
      <color rgb="FFC00000"/>
      <name val="Noto Sans CJK SC"/>
      <family val="2"/>
    </font>
    <font>
      <b/>
      <sz val="11"/>
      <color rgb="FFC00000"/>
      <name val="Noto Sans CJK SC"/>
      <family val="2"/>
      <charset val="1"/>
    </font>
    <font>
      <b/>
      <sz val="11"/>
      <color rgb="FF1F3864"/>
      <name val="맑은 고딕"/>
      <family val="3"/>
      <charset val="129"/>
    </font>
    <font>
      <sz val="11"/>
      <color rgb="FFC00000"/>
      <name val="맑은 고딕"/>
      <family val="3"/>
      <charset val="129"/>
    </font>
    <font>
      <b/>
      <sz val="11"/>
      <color rgb="FF1F3864"/>
      <name val="Noto Sans CJK SC"/>
      <family val="2"/>
    </font>
    <font>
      <b/>
      <sz val="10"/>
      <color rgb="FF000000"/>
      <name val="Noto Sans CJK SC"/>
      <family val="2"/>
      <charset val="1"/>
    </font>
    <font>
      <b/>
      <sz val="10"/>
      <color rgb="FF000000"/>
      <name val="맑은 고딕"/>
      <family val="3"/>
      <charset val="129"/>
    </font>
    <font>
      <b/>
      <sz val="10"/>
      <color rgb="FFC00000"/>
      <name val="Noto Sans CJK SC"/>
      <family val="2"/>
      <charset val="1"/>
    </font>
    <font>
      <sz val="10"/>
      <color rgb="FFC00000"/>
      <name val="Noto Sans CJK SC"/>
      <family val="2"/>
      <charset val="1"/>
    </font>
    <font>
      <sz val="10"/>
      <color rgb="FF000000"/>
      <name val="Noto Sans CJK SC"/>
      <family val="2"/>
    </font>
    <font>
      <sz val="11"/>
      <color theme="1"/>
      <name val="Noto Sans CJK SC"/>
      <family val="2"/>
    </font>
    <font>
      <sz val="10"/>
      <color rgb="FF008000"/>
      <name val="맑은 고딕"/>
      <family val="3"/>
      <charset val="129"/>
    </font>
    <font>
      <sz val="10"/>
      <color rgb="FF80808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Noto Sans CJK SC"/>
      <family val="2"/>
    </font>
    <font>
      <sz val="9"/>
      <color rgb="FF000000"/>
      <name val="Noto Sans CJK SC"/>
      <family val="2"/>
      <charset val="1"/>
    </font>
    <font>
      <sz val="10"/>
      <color rgb="FF0000FF"/>
      <name val="Noto Sans CJK SC"/>
      <family val="2"/>
    </font>
    <font>
      <sz val="8"/>
      <name val="돋움"/>
      <family val="3"/>
      <charset val="129"/>
    </font>
    <font>
      <sz val="11"/>
      <color rgb="FF0000FF"/>
      <name val="Noto Sans CJK SC"/>
      <family val="1"/>
    </font>
    <font>
      <sz val="9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000000"/>
      <name val="Noto Sans CJK SC"/>
      <family val="2"/>
      <charset val="129"/>
    </font>
    <font>
      <sz val="11"/>
      <color rgb="FF000000"/>
      <name val="Noto Sans CJK SC"/>
      <family val="3"/>
      <charset val="129"/>
    </font>
    <font>
      <sz val="10"/>
      <color rgb="FF0000FF"/>
      <name val="Noto Sans CJK SC"/>
      <family val="3"/>
      <charset val="129"/>
    </font>
    <font>
      <sz val="10"/>
      <color rgb="FFFF0000"/>
      <name val="맑은 고딕"/>
      <family val="3"/>
      <charset val="129"/>
    </font>
    <font>
      <sz val="11"/>
      <color rgb="FFFF0000"/>
      <name val="Calibri"/>
      <family val="2"/>
      <charset val="1"/>
    </font>
    <font>
      <sz val="11"/>
      <color theme="1"/>
      <name val="Noto Sans CJK SC"/>
      <family val="3"/>
      <charset val="129"/>
    </font>
    <font>
      <b/>
      <sz val="10"/>
      <color theme="1"/>
      <name val="Noto Sans CJK SC"/>
      <family val="2"/>
      <charset val="1"/>
    </font>
    <font>
      <sz val="10"/>
      <color theme="1"/>
      <name val="Noto Sans CJK SC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7E6E6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theme="0" tint="-0.34998626667073579"/>
      </right>
      <top style="thin">
        <color rgb="FFBFBFBF"/>
      </top>
      <bottom style="thin">
        <color rgb="FFBFBFB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theme="0" tint="-0.34998626667073579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rgb="FFBFBFBF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BFBFBF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BFBFBF"/>
      </top>
      <bottom style="thin">
        <color theme="0" tint="-0.34998626667073579"/>
      </bottom>
      <diagonal/>
    </border>
    <border>
      <left style="thin">
        <color rgb="FFBFBFBF"/>
      </left>
      <right style="thin">
        <color theme="0" tint="-0.34998626667073579"/>
      </right>
      <top style="thin">
        <color rgb="FFBFBFBF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4" fillId="6" borderId="1" xfId="0" applyFont="1" applyFill="1" applyBorder="1" applyAlignment="1">
      <alignment vertical="center"/>
    </xf>
    <xf numFmtId="0" fontId="15" fillId="0" borderId="2" xfId="0" applyFont="1" applyBorder="1" applyAlignment="1">
      <alignment vertical="center" wrapText="1"/>
    </xf>
    <xf numFmtId="0" fontId="16" fillId="6" borderId="1" xfId="0" applyFont="1" applyFill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12" fillId="0" borderId="0" xfId="0" applyFont="1" applyAlignment="1">
      <alignment horizontal="right" vertical="top"/>
    </xf>
    <xf numFmtId="0" fontId="8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7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22" fillId="0" borderId="1" xfId="0" applyFont="1" applyBorder="1" applyAlignment="1">
      <alignment vertical="top" wrapText="1"/>
    </xf>
    <xf numFmtId="0" fontId="23" fillId="3" borderId="1" xfId="0" applyFont="1" applyFill="1" applyBorder="1" applyAlignment="1">
      <alignment vertical="top" wrapText="1"/>
    </xf>
    <xf numFmtId="0" fontId="24" fillId="0" borderId="1" xfId="0" applyFont="1" applyBorder="1" applyAlignment="1">
      <alignment vertical="top" wrapText="1"/>
    </xf>
    <xf numFmtId="176" fontId="23" fillId="3" borderId="1" xfId="0" applyNumberFormat="1" applyFont="1" applyFill="1" applyBorder="1" applyAlignment="1">
      <alignment vertical="top" wrapText="1"/>
    </xf>
    <xf numFmtId="0" fontId="26" fillId="3" borderId="1" xfId="0" applyFont="1" applyFill="1" applyBorder="1" applyAlignment="1">
      <alignment vertical="top" wrapText="1"/>
    </xf>
    <xf numFmtId="3" fontId="23" fillId="3" borderId="1" xfId="0" applyNumberFormat="1" applyFont="1" applyFill="1" applyBorder="1" applyAlignment="1">
      <alignment vertical="top" wrapText="1"/>
    </xf>
    <xf numFmtId="0" fontId="5" fillId="0" borderId="0" xfId="0" applyFont="1"/>
    <xf numFmtId="0" fontId="27" fillId="2" borderId="1" xfId="0" applyFont="1" applyFill="1" applyBorder="1" applyAlignment="1">
      <alignment horizontal="center" vertical="center" wrapText="1"/>
    </xf>
    <xf numFmtId="0" fontId="28" fillId="5" borderId="1" xfId="0" applyFont="1" applyFill="1" applyBorder="1"/>
    <xf numFmtId="0" fontId="29" fillId="5" borderId="1" xfId="0" applyFont="1" applyFill="1" applyBorder="1"/>
    <xf numFmtId="0" fontId="28" fillId="5" borderId="1" xfId="0" applyFont="1" applyFill="1" applyBorder="1" applyAlignment="1">
      <alignment wrapText="1"/>
    </xf>
    <xf numFmtId="0" fontId="29" fillId="5" borderId="1" xfId="0" applyFont="1" applyFill="1" applyBorder="1" applyAlignment="1">
      <alignment wrapText="1"/>
    </xf>
    <xf numFmtId="0" fontId="16" fillId="6" borderId="1" xfId="0" applyFont="1" applyFill="1" applyBorder="1" applyAlignment="1">
      <alignment vertical="top" wrapText="1"/>
    </xf>
    <xf numFmtId="0" fontId="33" fillId="3" borderId="1" xfId="0" applyFont="1" applyFill="1" applyBorder="1" applyAlignment="1">
      <alignment vertical="top" wrapText="1"/>
    </xf>
    <xf numFmtId="0" fontId="34" fillId="0" borderId="1" xfId="0" applyFont="1" applyBorder="1"/>
    <xf numFmtId="0" fontId="35" fillId="3" borderId="1" xfId="0" applyFont="1" applyFill="1" applyBorder="1" applyAlignment="1">
      <alignment vertical="top" wrapText="1"/>
    </xf>
    <xf numFmtId="0" fontId="36" fillId="3" borderId="1" xfId="0" applyFont="1" applyFill="1" applyBorder="1" applyAlignment="1">
      <alignment vertical="top" wrapText="1"/>
    </xf>
    <xf numFmtId="0" fontId="37" fillId="2" borderId="1" xfId="0" applyFont="1" applyFill="1" applyBorder="1" applyAlignment="1">
      <alignment horizontal="center" vertical="center" wrapText="1"/>
    </xf>
    <xf numFmtId="3" fontId="29" fillId="5" borderId="1" xfId="0" applyNumberFormat="1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177" fontId="29" fillId="5" borderId="1" xfId="0" applyNumberFormat="1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3" fontId="35" fillId="3" borderId="1" xfId="0" applyNumberFormat="1" applyFont="1" applyFill="1" applyBorder="1" applyAlignment="1">
      <alignment horizontal="center" vertical="center"/>
    </xf>
    <xf numFmtId="4" fontId="35" fillId="3" borderId="1" xfId="0" applyNumberFormat="1" applyFont="1" applyFill="1" applyBorder="1" applyAlignment="1">
      <alignment horizontal="center" vertical="center"/>
    </xf>
    <xf numFmtId="177" fontId="39" fillId="0" borderId="1" xfId="0" applyNumberFormat="1" applyFont="1" applyBorder="1" applyAlignment="1">
      <alignment horizontal="center" vertical="center"/>
    </xf>
    <xf numFmtId="178" fontId="35" fillId="4" borderId="1" xfId="0" applyNumberFormat="1" applyFont="1" applyFill="1" applyBorder="1" applyAlignment="1">
      <alignment horizontal="center" vertical="center"/>
    </xf>
    <xf numFmtId="178" fontId="39" fillId="0" borderId="1" xfId="0" applyNumberFormat="1" applyFont="1" applyBorder="1" applyAlignment="1">
      <alignment horizontal="center" vertical="center"/>
    </xf>
    <xf numFmtId="179" fontId="39" fillId="0" borderId="1" xfId="0" applyNumberFormat="1" applyFont="1" applyBorder="1" applyAlignment="1">
      <alignment horizontal="center" vertical="center"/>
    </xf>
    <xf numFmtId="180" fontId="39" fillId="0" borderId="1" xfId="0" applyNumberFormat="1" applyFont="1" applyBorder="1" applyAlignment="1">
      <alignment horizontal="center" vertical="center"/>
    </xf>
    <xf numFmtId="0" fontId="14" fillId="3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17" fillId="0" borderId="0" xfId="0" applyFont="1" applyAlignment="1">
      <alignment vertical="top"/>
    </xf>
    <xf numFmtId="0" fontId="0" fillId="0" borderId="0" xfId="0" applyAlignment="1">
      <alignment vertical="top"/>
    </xf>
    <xf numFmtId="0" fontId="43" fillId="2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vertical="center"/>
    </xf>
    <xf numFmtId="0" fontId="44" fillId="0" borderId="0" xfId="0" applyFont="1"/>
    <xf numFmtId="178" fontId="23" fillId="3" borderId="1" xfId="0" applyNumberFormat="1" applyFont="1" applyFill="1" applyBorder="1" applyAlignment="1">
      <alignment horizontal="center" vertical="center"/>
    </xf>
    <xf numFmtId="177" fontId="12" fillId="5" borderId="1" xfId="0" applyNumberFormat="1" applyFont="1" applyFill="1" applyBorder="1" applyAlignment="1">
      <alignment horizontal="center" vertical="center"/>
    </xf>
    <xf numFmtId="181" fontId="12" fillId="5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178" fontId="10" fillId="0" borderId="1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vertical="center"/>
    </xf>
    <xf numFmtId="1" fontId="45" fillId="0" borderId="1" xfId="0" applyNumberFormat="1" applyFont="1" applyBorder="1" applyAlignment="1">
      <alignment horizontal="center" vertical="center"/>
    </xf>
    <xf numFmtId="0" fontId="47" fillId="0" borderId="1" xfId="0" applyFont="1" applyBorder="1" applyAlignment="1">
      <alignment vertical="center"/>
    </xf>
    <xf numFmtId="0" fontId="47" fillId="0" borderId="1" xfId="0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33" fillId="0" borderId="0" xfId="0" applyFont="1"/>
    <xf numFmtId="0" fontId="8" fillId="6" borderId="1" xfId="0" applyFont="1" applyFill="1" applyBorder="1"/>
    <xf numFmtId="178" fontId="12" fillId="5" borderId="1" xfId="0" applyNumberFormat="1" applyFont="1" applyFill="1" applyBorder="1"/>
    <xf numFmtId="0" fontId="17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6" fillId="6" borderId="1" xfId="0" applyFont="1" applyFill="1" applyBorder="1" applyAlignment="1">
      <alignment wrapText="1"/>
    </xf>
    <xf numFmtId="178" fontId="10" fillId="5" borderId="1" xfId="0" applyNumberFormat="1" applyFont="1" applyFill="1" applyBorder="1"/>
    <xf numFmtId="3" fontId="23" fillId="3" borderId="1" xfId="0" applyNumberFormat="1" applyFont="1" applyFill="1" applyBorder="1"/>
    <xf numFmtId="3" fontId="12" fillId="5" borderId="1" xfId="0" applyNumberFormat="1" applyFont="1" applyFill="1" applyBorder="1"/>
    <xf numFmtId="0" fontId="12" fillId="6" borderId="1" xfId="0" applyFont="1" applyFill="1" applyBorder="1"/>
    <xf numFmtId="0" fontId="8" fillId="6" borderId="1" xfId="0" applyFont="1" applyFill="1" applyBorder="1" applyAlignment="1">
      <alignment wrapText="1"/>
    </xf>
    <xf numFmtId="0" fontId="10" fillId="6" borderId="1" xfId="0" applyFont="1" applyFill="1" applyBorder="1"/>
    <xf numFmtId="2" fontId="10" fillId="5" borderId="1" xfId="0" applyNumberFormat="1" applyFont="1" applyFill="1" applyBorder="1"/>
    <xf numFmtId="179" fontId="23" fillId="3" borderId="1" xfId="0" applyNumberFormat="1" applyFont="1" applyFill="1" applyBorder="1"/>
    <xf numFmtId="179" fontId="10" fillId="5" borderId="1" xfId="0" applyNumberFormat="1" applyFont="1" applyFill="1" applyBorder="1"/>
    <xf numFmtId="0" fontId="47" fillId="0" borderId="1" xfId="0" applyFont="1" applyBorder="1"/>
    <xf numFmtId="0" fontId="49" fillId="0" borderId="1" xfId="0" applyFont="1" applyBorder="1" applyAlignment="1">
      <alignment horizontal="center"/>
    </xf>
    <xf numFmtId="0" fontId="48" fillId="0" borderId="0" xfId="0" applyFont="1"/>
    <xf numFmtId="0" fontId="12" fillId="0" borderId="1" xfId="0" applyFont="1" applyBorder="1" applyAlignment="1">
      <alignment horizontal="center"/>
    </xf>
    <xf numFmtId="2" fontId="12" fillId="5" borderId="1" xfId="0" applyNumberFormat="1" applyFont="1" applyFill="1" applyBorder="1"/>
    <xf numFmtId="0" fontId="16" fillId="6" borderId="1" xfId="0" applyFont="1" applyFill="1" applyBorder="1"/>
    <xf numFmtId="0" fontId="17" fillId="0" borderId="6" xfId="0" applyFont="1" applyBorder="1"/>
    <xf numFmtId="0" fontId="34" fillId="6" borderId="1" xfId="0" applyFont="1" applyFill="1" applyBorder="1" applyAlignment="1">
      <alignment vertical="center" wrapText="1"/>
    </xf>
    <xf numFmtId="178" fontId="35" fillId="3" borderId="1" xfId="0" applyNumberFormat="1" applyFont="1" applyFill="1" applyBorder="1" applyAlignment="1">
      <alignment vertical="center"/>
    </xf>
    <xf numFmtId="177" fontId="39" fillId="5" borderId="1" xfId="0" applyNumberFormat="1" applyFont="1" applyFill="1" applyBorder="1" applyAlignment="1">
      <alignment vertical="center"/>
    </xf>
    <xf numFmtId="0" fontId="51" fillId="6" borderId="1" xfId="0" applyFont="1" applyFill="1" applyBorder="1" applyAlignment="1">
      <alignment vertical="center" wrapText="1"/>
    </xf>
    <xf numFmtId="178" fontId="52" fillId="5" borderId="1" xfId="0" applyNumberFormat="1" applyFont="1" applyFill="1" applyBorder="1" applyAlignment="1">
      <alignment vertical="center"/>
    </xf>
    <xf numFmtId="3" fontId="35" fillId="3" borderId="1" xfId="0" applyNumberFormat="1" applyFont="1" applyFill="1" applyBorder="1" applyAlignment="1">
      <alignment vertical="center"/>
    </xf>
    <xf numFmtId="0" fontId="53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/>
    </xf>
    <xf numFmtId="0" fontId="39" fillId="6" borderId="1" xfId="0" applyFont="1" applyFill="1" applyBorder="1" applyAlignment="1">
      <alignment vertical="center" wrapText="1"/>
    </xf>
    <xf numFmtId="0" fontId="56" fillId="0" borderId="0" xfId="0" applyFont="1"/>
    <xf numFmtId="0" fontId="27" fillId="2" borderId="1" xfId="0" applyFont="1" applyFill="1" applyBorder="1" applyAlignment="1">
      <alignment horizontal="center"/>
    </xf>
    <xf numFmtId="0" fontId="37" fillId="2" borderId="1" xfId="0" applyFont="1" applyFill="1" applyBorder="1" applyAlignment="1">
      <alignment horizontal="center"/>
    </xf>
    <xf numFmtId="3" fontId="57" fillId="5" borderId="1" xfId="0" applyNumberFormat="1" applyFont="1" applyFill="1" applyBorder="1"/>
    <xf numFmtId="178" fontId="39" fillId="5" borderId="1" xfId="0" applyNumberFormat="1" applyFont="1" applyFill="1" applyBorder="1"/>
    <xf numFmtId="3" fontId="39" fillId="5" borderId="1" xfId="0" applyNumberFormat="1" applyFont="1" applyFill="1" applyBorder="1"/>
    <xf numFmtId="182" fontId="52" fillId="5" borderId="1" xfId="0" applyNumberFormat="1" applyFont="1" applyFill="1" applyBorder="1"/>
    <xf numFmtId="0" fontId="28" fillId="0" borderId="0" xfId="0" applyFont="1" applyAlignment="1">
      <alignment vertical="top" wrapText="1"/>
    </xf>
    <xf numFmtId="182" fontId="39" fillId="5" borderId="1" xfId="0" applyNumberFormat="1" applyFont="1" applyFill="1" applyBorder="1"/>
    <xf numFmtId="0" fontId="58" fillId="5" borderId="1" xfId="0" applyFont="1" applyFill="1" applyBorder="1" applyAlignment="1">
      <alignment horizontal="center"/>
    </xf>
    <xf numFmtId="0" fontId="62" fillId="3" borderId="1" xfId="0" applyFont="1" applyFill="1" applyBorder="1" applyAlignment="1">
      <alignment vertical="top" wrapText="1"/>
    </xf>
    <xf numFmtId="0" fontId="30" fillId="3" borderId="1" xfId="0" applyFont="1" applyFill="1" applyBorder="1" applyAlignment="1">
      <alignment vertical="top" wrapText="1"/>
    </xf>
    <xf numFmtId="0" fontId="64" fillId="3" borderId="1" xfId="0" applyFont="1" applyFill="1" applyBorder="1" applyAlignment="1">
      <alignment vertical="top" wrapText="1"/>
    </xf>
    <xf numFmtId="0" fontId="56" fillId="3" borderId="1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vertical="center" wrapText="1"/>
    </xf>
    <xf numFmtId="0" fontId="66" fillId="3" borderId="1" xfId="0" applyFont="1" applyFill="1" applyBorder="1" applyAlignment="1">
      <alignment vertical="center" wrapText="1"/>
    </xf>
    <xf numFmtId="0" fontId="68" fillId="6" borderId="1" xfId="0" applyFont="1" applyFill="1" applyBorder="1" applyAlignment="1">
      <alignment wrapText="1"/>
    </xf>
    <xf numFmtId="177" fontId="70" fillId="5" borderId="1" xfId="0" applyNumberFormat="1" applyFont="1" applyFill="1" applyBorder="1" applyAlignment="1">
      <alignment vertical="center"/>
    </xf>
    <xf numFmtId="0" fontId="71" fillId="0" borderId="0" xfId="0" applyFont="1"/>
    <xf numFmtId="0" fontId="72" fillId="3" borderId="1" xfId="0" applyFont="1" applyFill="1" applyBorder="1" applyAlignment="1">
      <alignment vertical="center" wrapText="1"/>
    </xf>
    <xf numFmtId="177" fontId="71" fillId="0" borderId="0" xfId="0" applyNumberFormat="1" applyFont="1"/>
    <xf numFmtId="0" fontId="48" fillId="0" borderId="0" xfId="0" applyFont="1"/>
    <xf numFmtId="0" fontId="65" fillId="0" borderId="0" xfId="0" applyFont="1" applyAlignment="1">
      <alignment vertical="top" wrapText="1"/>
    </xf>
    <xf numFmtId="0" fontId="69" fillId="3" borderId="1" xfId="0" applyFont="1" applyFill="1" applyBorder="1" applyAlignment="1">
      <alignment vertical="top" wrapText="1"/>
    </xf>
    <xf numFmtId="0" fontId="62" fillId="3" borderId="1" xfId="0" applyFont="1" applyFill="1" applyBorder="1" applyAlignment="1">
      <alignment vertical="top" wrapText="1"/>
    </xf>
    <xf numFmtId="0" fontId="61" fillId="0" borderId="1" xfId="0" applyFont="1" applyBorder="1" applyAlignment="1">
      <alignment vertical="top" wrapText="1"/>
    </xf>
    <xf numFmtId="0" fontId="35" fillId="3" borderId="1" xfId="0" applyFont="1" applyFill="1" applyBorder="1" applyAlignment="1">
      <alignment vertical="top" wrapText="1"/>
    </xf>
    <xf numFmtId="0" fontId="61" fillId="0" borderId="1" xfId="0" applyFont="1" applyBorder="1"/>
    <xf numFmtId="0" fontId="59" fillId="0" borderId="1" xfId="0" applyFont="1" applyBorder="1" applyAlignment="1">
      <alignment vertical="top" wrapText="1"/>
    </xf>
    <xf numFmtId="0" fontId="27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7" fillId="2" borderId="1" xfId="0" applyFont="1" applyFill="1" applyBorder="1" applyAlignment="1">
      <alignment horizontal="center"/>
    </xf>
    <xf numFmtId="0" fontId="18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8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0" fillId="3" borderId="3" xfId="0" applyFont="1" applyFill="1" applyBorder="1" applyAlignment="1">
      <alignment vertical="top" wrapText="1"/>
    </xf>
    <xf numFmtId="0" fontId="40" fillId="0" borderId="0" xfId="0" applyFont="1" applyAlignment="1">
      <alignment wrapText="1"/>
    </xf>
    <xf numFmtId="0" fontId="35" fillId="3" borderId="0" xfId="0" applyFont="1" applyFill="1" applyAlignment="1">
      <alignment horizontal="left" vertical="top" wrapText="1"/>
    </xf>
    <xf numFmtId="0" fontId="10" fillId="3" borderId="3" xfId="0" applyFont="1" applyFill="1" applyBorder="1" applyAlignment="1">
      <alignment vertical="top" wrapText="1"/>
    </xf>
    <xf numFmtId="0" fontId="2" fillId="0" borderId="0" xfId="0" applyFont="1" applyAlignment="1">
      <alignment wrapText="1"/>
    </xf>
    <xf numFmtId="0" fontId="41" fillId="0" borderId="0" xfId="0" applyFont="1" applyAlignment="1">
      <alignment wrapText="1"/>
    </xf>
    <xf numFmtId="0" fontId="42" fillId="0" borderId="0" xfId="0" applyFont="1" applyAlignment="1">
      <alignment wrapText="1"/>
    </xf>
    <xf numFmtId="0" fontId="0" fillId="0" borderId="0" xfId="0"/>
    <xf numFmtId="0" fontId="2" fillId="0" borderId="0" xfId="0" applyFont="1" applyAlignment="1">
      <alignment vertical="top" wrapText="1"/>
    </xf>
    <xf numFmtId="0" fontId="22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22" fillId="0" borderId="0" xfId="0" applyFont="1" applyAlignment="1">
      <alignment vertical="top" wrapText="1"/>
    </xf>
    <xf numFmtId="0" fontId="23" fillId="3" borderId="4" xfId="0" applyFont="1" applyFill="1" applyBorder="1" applyAlignment="1">
      <alignment vertical="top" wrapText="1"/>
    </xf>
    <xf numFmtId="0" fontId="26" fillId="0" borderId="0" xfId="0" applyFont="1" applyAlignment="1">
      <alignment vertical="top" wrapText="1"/>
    </xf>
    <xf numFmtId="0" fontId="6" fillId="2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17" fillId="0" borderId="0" xfId="0" applyFont="1" applyAlignment="1">
      <alignment wrapText="1"/>
    </xf>
    <xf numFmtId="0" fontId="15" fillId="0" borderId="5" xfId="0" applyFont="1" applyBorder="1" applyAlignment="1">
      <alignment horizontal="left" vertical="center" wrapText="1"/>
    </xf>
    <xf numFmtId="0" fontId="10" fillId="6" borderId="9" xfId="0" applyFont="1" applyFill="1" applyBorder="1" applyAlignment="1">
      <alignment horizontal="left" vertical="top" wrapText="1"/>
    </xf>
    <xf numFmtId="0" fontId="30" fillId="3" borderId="10" xfId="0" applyFont="1" applyFill="1" applyBorder="1" applyAlignment="1">
      <alignment vertical="top" wrapText="1"/>
    </xf>
    <xf numFmtId="0" fontId="26" fillId="3" borderId="11" xfId="0" applyFont="1" applyFill="1" applyBorder="1" applyAlignment="1">
      <alignment vertical="top" wrapText="1"/>
    </xf>
    <xf numFmtId="0" fontId="26" fillId="3" borderId="12" xfId="0" applyFont="1" applyFill="1" applyBorder="1" applyAlignment="1">
      <alignment vertical="top" wrapText="1"/>
    </xf>
    <xf numFmtId="0" fontId="26" fillId="3" borderId="8" xfId="0" applyFont="1" applyFill="1" applyBorder="1" applyAlignment="1">
      <alignment vertical="top" wrapText="1"/>
    </xf>
    <xf numFmtId="0" fontId="26" fillId="3" borderId="13" xfId="0" applyFont="1" applyFill="1" applyBorder="1" applyAlignment="1">
      <alignment vertical="top" wrapText="1"/>
    </xf>
    <xf numFmtId="0" fontId="26" fillId="3" borderId="14" xfId="0" applyFont="1" applyFill="1" applyBorder="1" applyAlignment="1">
      <alignment vertical="top" wrapText="1"/>
    </xf>
    <xf numFmtId="0" fontId="30" fillId="3" borderId="2" xfId="0" applyFont="1" applyFill="1" applyBorder="1" applyAlignment="1">
      <alignment vertical="top" wrapText="1"/>
    </xf>
    <xf numFmtId="0" fontId="26" fillId="3" borderId="2" xfId="0" applyFont="1" applyFill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10" fillId="6" borderId="7" xfId="0" applyFont="1" applyFill="1" applyBorder="1" applyAlignment="1">
      <alignment horizontal="left" vertical="top" wrapText="1"/>
    </xf>
    <xf numFmtId="0" fontId="30" fillId="3" borderId="8" xfId="0" applyFont="1" applyFill="1" applyBorder="1" applyAlignment="1">
      <alignment vertical="top" wrapText="1"/>
    </xf>
    <xf numFmtId="0" fontId="24" fillId="0" borderId="0" xfId="0" applyFont="1" applyAlignment="1">
      <alignment horizontal="left" vertical="top" wrapText="1"/>
    </xf>
    <xf numFmtId="0" fontId="24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44" fillId="0" borderId="0" xfId="0" applyFont="1" applyAlignment="1">
      <alignment horizontal="left" vertical="top" wrapText="1"/>
    </xf>
    <xf numFmtId="0" fontId="73" fillId="6" borderId="1" xfId="0" applyFont="1" applyFill="1" applyBorder="1" applyAlignment="1">
      <alignment vertical="center" wrapText="1"/>
    </xf>
    <xf numFmtId="0" fontId="74" fillId="6" borderId="1" xfId="0" applyFont="1" applyFill="1" applyBorder="1" applyAlignment="1">
      <alignment vertical="center" wrapText="1"/>
    </xf>
  </cellXfs>
  <cellStyles count="1">
    <cellStyle name="표준" xfId="0" builtinId="0"/>
  </cellStyles>
  <dxfs count="4"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8B855"/>
      <rgbColor rgb="FF800080"/>
      <rgbColor rgb="FF008080"/>
      <rgbColor rgb="FFBFBFBF"/>
      <rgbColor rgb="FF808080"/>
      <rgbColor rgb="FFA6A6A6"/>
      <rgbColor rgb="FFBE4B48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7E6E6"/>
      <rgbColor rgb="FFB3B3B3"/>
      <rgbColor rgb="FFFF99CC"/>
      <rgbColor rgb="FFCC99FF"/>
      <rgbColor rgb="FFFCE4D6"/>
      <rgbColor rgb="FF4A7EBB"/>
      <rgbColor rgb="FF33CCCC"/>
      <rgbColor rgb="FF92D05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대상기업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·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비교기업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·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KOSPI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상대주가 추이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(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시작월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'1-3_주가추이_월별'!$J$13</c:f>
              <c:strCache>
                <c:ptCount val="1"/>
                <c:pt idx="0">
                  <c:v>대상
지수(100)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'1-3_주가추이_월별'!$C$14:$C$73</c:f>
              <c:strCache>
                <c:ptCount val="60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</c:strCache>
            </c:strRef>
          </c:cat>
          <c:val>
            <c:numRef>
              <c:f>'1-3_주가추이_월별'!$J$14:$J$73</c:f>
              <c:numCache>
                <c:formatCode>#,##0;\(#,##0\);\-</c:formatCode>
                <c:ptCount val="60"/>
                <c:pt idx="0">
                  <c:v>100</c:v>
                </c:pt>
                <c:pt idx="1">
                  <c:v>0</c:v>
                </c:pt>
                <c:pt idx="2" formatCode="0.0">
                  <c:v>0</c:v>
                </c:pt>
                <c:pt idx="3" formatCode="0.0">
                  <c:v>0</c:v>
                </c:pt>
                <c:pt idx="4" formatCode="0.0">
                  <c:v>0</c:v>
                </c:pt>
                <c:pt idx="5" formatCode="0.0">
                  <c:v>0</c:v>
                </c:pt>
                <c:pt idx="6" formatCode="0.0">
                  <c:v>0</c:v>
                </c:pt>
                <c:pt idx="7" formatCode="0.0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  <c:pt idx="27" formatCode="0.0">
                  <c:v>0</c:v>
                </c:pt>
                <c:pt idx="28" formatCode="0.0">
                  <c:v>0</c:v>
                </c:pt>
                <c:pt idx="29" formatCode="0.0">
                  <c:v>0</c:v>
                </c:pt>
                <c:pt idx="30" formatCode="0.0">
                  <c:v>0</c:v>
                </c:pt>
                <c:pt idx="31" formatCode="0.0">
                  <c:v>0</c:v>
                </c:pt>
                <c:pt idx="32" formatCode="0.0">
                  <c:v>0</c:v>
                </c:pt>
                <c:pt idx="33" formatCode="0.0">
                  <c:v>0</c:v>
                </c:pt>
                <c:pt idx="34" formatCode="0.0">
                  <c:v>0</c:v>
                </c:pt>
                <c:pt idx="35" formatCode="0.0">
                  <c:v>0</c:v>
                </c:pt>
                <c:pt idx="36" formatCode="0.0">
                  <c:v>0</c:v>
                </c:pt>
                <c:pt idx="37" formatCode="0.0">
                  <c:v>0</c:v>
                </c:pt>
                <c:pt idx="38" formatCode="0.0">
                  <c:v>0</c:v>
                </c:pt>
                <c:pt idx="39" formatCode="0.0">
                  <c:v>0</c:v>
                </c:pt>
                <c:pt idx="40" formatCode="0.0">
                  <c:v>0</c:v>
                </c:pt>
                <c:pt idx="41" formatCode="0.0">
                  <c:v>0</c:v>
                </c:pt>
                <c:pt idx="42" formatCode="0.0">
                  <c:v>0</c:v>
                </c:pt>
                <c:pt idx="43" formatCode="0.0">
                  <c:v>0</c:v>
                </c:pt>
                <c:pt idx="44" formatCode="0.0">
                  <c:v>0</c:v>
                </c:pt>
                <c:pt idx="45" formatCode="0.0">
                  <c:v>0</c:v>
                </c:pt>
                <c:pt idx="46" formatCode="0.0">
                  <c:v>0</c:v>
                </c:pt>
                <c:pt idx="47" formatCode="0.0">
                  <c:v>0</c:v>
                </c:pt>
                <c:pt idx="48" formatCode="0.0">
                  <c:v>0</c:v>
                </c:pt>
                <c:pt idx="49" formatCode="0.0">
                  <c:v>0</c:v>
                </c:pt>
                <c:pt idx="50" formatCode="0.0">
                  <c:v>0</c:v>
                </c:pt>
                <c:pt idx="51" formatCode="0.0">
                  <c:v>0</c:v>
                </c:pt>
                <c:pt idx="52" formatCode="0.0">
                  <c:v>0</c:v>
                </c:pt>
                <c:pt idx="53" formatCode="0.0">
                  <c:v>0</c:v>
                </c:pt>
                <c:pt idx="54" formatCode="0.0">
                  <c:v>0</c:v>
                </c:pt>
                <c:pt idx="55" formatCode="0.0">
                  <c:v>0</c:v>
                </c:pt>
                <c:pt idx="56" formatCode="0.0">
                  <c:v>0</c:v>
                </c:pt>
                <c:pt idx="57" formatCode="0.0">
                  <c:v>0</c:v>
                </c:pt>
                <c:pt idx="58" formatCode="0.0">
                  <c:v>0</c:v>
                </c:pt>
                <c:pt idx="59" formatCode="0.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5A-4ED8-879B-5C1E7B163C2F}"/>
            </c:ext>
          </c:extLst>
        </c:ser>
        <c:ser>
          <c:idx val="1"/>
          <c:order val="1"/>
          <c:tx>
            <c:strRef>
              <c:f>'1-3_주가추이_월별'!$K$13</c:f>
              <c:strCache>
                <c:ptCount val="1"/>
                <c:pt idx="0">
                  <c:v>비교
지수(100)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'1-3_주가추이_월별'!$C$14:$C$73</c:f>
              <c:strCache>
                <c:ptCount val="60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</c:strCache>
            </c:strRef>
          </c:cat>
          <c:val>
            <c:numRef>
              <c:f>'1-3_주가추이_월별'!$K$14:$K$73</c:f>
              <c:numCache>
                <c:formatCode>#,##0;\(#,##0\);\-</c:formatCode>
                <c:ptCount val="60"/>
                <c:pt idx="0">
                  <c:v>100</c:v>
                </c:pt>
                <c:pt idx="1">
                  <c:v>0</c:v>
                </c:pt>
                <c:pt idx="2" formatCode="0.0">
                  <c:v>0</c:v>
                </c:pt>
                <c:pt idx="3" formatCode="0.0">
                  <c:v>0</c:v>
                </c:pt>
                <c:pt idx="4" formatCode="0.0">
                  <c:v>0</c:v>
                </c:pt>
                <c:pt idx="5" formatCode="0.0">
                  <c:v>0</c:v>
                </c:pt>
                <c:pt idx="6" formatCode="0.0">
                  <c:v>0</c:v>
                </c:pt>
                <c:pt idx="7" formatCode="0.0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  <c:pt idx="27" formatCode="0.0">
                  <c:v>0</c:v>
                </c:pt>
                <c:pt idx="28" formatCode="0.0">
                  <c:v>0</c:v>
                </c:pt>
                <c:pt idx="29" formatCode="0.0">
                  <c:v>0</c:v>
                </c:pt>
                <c:pt idx="30" formatCode="0.0">
                  <c:v>0</c:v>
                </c:pt>
                <c:pt idx="31" formatCode="0.0">
                  <c:v>0</c:v>
                </c:pt>
                <c:pt idx="32" formatCode="0.0">
                  <c:v>0</c:v>
                </c:pt>
                <c:pt idx="33" formatCode="0.0">
                  <c:v>0</c:v>
                </c:pt>
                <c:pt idx="34" formatCode="0.0">
                  <c:v>0</c:v>
                </c:pt>
                <c:pt idx="35" formatCode="0.0">
                  <c:v>0</c:v>
                </c:pt>
                <c:pt idx="36" formatCode="0.0">
                  <c:v>0</c:v>
                </c:pt>
                <c:pt idx="37" formatCode="0.0">
                  <c:v>0</c:v>
                </c:pt>
                <c:pt idx="38" formatCode="0.0">
                  <c:v>0</c:v>
                </c:pt>
                <c:pt idx="39" formatCode="0.0">
                  <c:v>0</c:v>
                </c:pt>
                <c:pt idx="40" formatCode="0.0">
                  <c:v>0</c:v>
                </c:pt>
                <c:pt idx="41" formatCode="0.0">
                  <c:v>0</c:v>
                </c:pt>
                <c:pt idx="42" formatCode="0.0">
                  <c:v>0</c:v>
                </c:pt>
                <c:pt idx="43" formatCode="0.0">
                  <c:v>0</c:v>
                </c:pt>
                <c:pt idx="44" formatCode="0.0">
                  <c:v>0</c:v>
                </c:pt>
                <c:pt idx="45" formatCode="0.0">
                  <c:v>0</c:v>
                </c:pt>
                <c:pt idx="46" formatCode="0.0">
                  <c:v>0</c:v>
                </c:pt>
                <c:pt idx="47" formatCode="0.0">
                  <c:v>0</c:v>
                </c:pt>
                <c:pt idx="48" formatCode="0.0">
                  <c:v>0</c:v>
                </c:pt>
                <c:pt idx="49" formatCode="0.0">
                  <c:v>0</c:v>
                </c:pt>
                <c:pt idx="50" formatCode="0.0">
                  <c:v>0</c:v>
                </c:pt>
                <c:pt idx="51" formatCode="0.0">
                  <c:v>0</c:v>
                </c:pt>
                <c:pt idx="52" formatCode="0.0">
                  <c:v>0</c:v>
                </c:pt>
                <c:pt idx="53" formatCode="0.0">
                  <c:v>0</c:v>
                </c:pt>
                <c:pt idx="54" formatCode="0.0">
                  <c:v>0</c:v>
                </c:pt>
                <c:pt idx="55" formatCode="0.0">
                  <c:v>0</c:v>
                </c:pt>
                <c:pt idx="56" formatCode="0.0">
                  <c:v>0</c:v>
                </c:pt>
                <c:pt idx="57" formatCode="0.0">
                  <c:v>0</c:v>
                </c:pt>
                <c:pt idx="58" formatCode="0.0">
                  <c:v>0</c:v>
                </c:pt>
                <c:pt idx="59" formatCode="0.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A5A-4ED8-879B-5C1E7B163C2F}"/>
            </c:ext>
          </c:extLst>
        </c:ser>
        <c:ser>
          <c:idx val="2"/>
          <c:order val="2"/>
          <c:tx>
            <c:strRef>
              <c:f>'1-3_주가추이_월별'!$L$13</c:f>
              <c:strCache>
                <c:ptCount val="1"/>
                <c:pt idx="0">
                  <c:v>KOSPI
지수(100)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'1-3_주가추이_월별'!$C$14:$C$73</c:f>
              <c:strCache>
                <c:ptCount val="60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</c:strCache>
            </c:strRef>
          </c:cat>
          <c:val>
            <c:numRef>
              <c:f>'1-3_주가추이_월별'!$L$14:$L$73</c:f>
              <c:numCache>
                <c:formatCode>#,##0;\(#,##0\);\-</c:formatCode>
                <c:ptCount val="60"/>
                <c:pt idx="0">
                  <c:v>100</c:v>
                </c:pt>
                <c:pt idx="1">
                  <c:v>0</c:v>
                </c:pt>
                <c:pt idx="2" formatCode="0.0">
                  <c:v>0</c:v>
                </c:pt>
                <c:pt idx="3" formatCode="0.0">
                  <c:v>0</c:v>
                </c:pt>
                <c:pt idx="4" formatCode="0.0">
                  <c:v>0</c:v>
                </c:pt>
                <c:pt idx="5" formatCode="0.0">
                  <c:v>0</c:v>
                </c:pt>
                <c:pt idx="6" formatCode="0.0">
                  <c:v>0</c:v>
                </c:pt>
                <c:pt idx="7" formatCode="0.0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  <c:pt idx="27" formatCode="0.0">
                  <c:v>0</c:v>
                </c:pt>
                <c:pt idx="28" formatCode="0.0">
                  <c:v>0</c:v>
                </c:pt>
                <c:pt idx="29" formatCode="0.0">
                  <c:v>0</c:v>
                </c:pt>
                <c:pt idx="30" formatCode="0.0">
                  <c:v>0</c:v>
                </c:pt>
                <c:pt idx="31" formatCode="0.0">
                  <c:v>0</c:v>
                </c:pt>
                <c:pt idx="32" formatCode="0.0">
                  <c:v>0</c:v>
                </c:pt>
                <c:pt idx="33" formatCode="0.0">
                  <c:v>0</c:v>
                </c:pt>
                <c:pt idx="34" formatCode="0.0">
                  <c:v>0</c:v>
                </c:pt>
                <c:pt idx="35" formatCode="0.0">
                  <c:v>0</c:v>
                </c:pt>
                <c:pt idx="36" formatCode="0.0">
                  <c:v>0</c:v>
                </c:pt>
                <c:pt idx="37" formatCode="0.0">
                  <c:v>0</c:v>
                </c:pt>
                <c:pt idx="38" formatCode="0.0">
                  <c:v>0</c:v>
                </c:pt>
                <c:pt idx="39" formatCode="0.0">
                  <c:v>0</c:v>
                </c:pt>
                <c:pt idx="40" formatCode="0.0">
                  <c:v>0</c:v>
                </c:pt>
                <c:pt idx="41" formatCode="0.0">
                  <c:v>0</c:v>
                </c:pt>
                <c:pt idx="42" formatCode="0.0">
                  <c:v>0</c:v>
                </c:pt>
                <c:pt idx="43" formatCode="0.0">
                  <c:v>0</c:v>
                </c:pt>
                <c:pt idx="44" formatCode="0.0">
                  <c:v>0</c:v>
                </c:pt>
                <c:pt idx="45" formatCode="0.0">
                  <c:v>0</c:v>
                </c:pt>
                <c:pt idx="46" formatCode="0.0">
                  <c:v>0</c:v>
                </c:pt>
                <c:pt idx="47" formatCode="0.0">
                  <c:v>0</c:v>
                </c:pt>
                <c:pt idx="48" formatCode="0.0">
                  <c:v>0</c:v>
                </c:pt>
                <c:pt idx="49" formatCode="0.0">
                  <c:v>0</c:v>
                </c:pt>
                <c:pt idx="50" formatCode="0.0">
                  <c:v>0</c:v>
                </c:pt>
                <c:pt idx="51" formatCode="0.0">
                  <c:v>0</c:v>
                </c:pt>
                <c:pt idx="52" formatCode="0.0">
                  <c:v>0</c:v>
                </c:pt>
                <c:pt idx="53" formatCode="0.0">
                  <c:v>0</c:v>
                </c:pt>
                <c:pt idx="54" formatCode="0.0">
                  <c:v>0</c:v>
                </c:pt>
                <c:pt idx="55" formatCode="0.0">
                  <c:v>0</c:v>
                </c:pt>
                <c:pt idx="56" formatCode="0.0">
                  <c:v>0</c:v>
                </c:pt>
                <c:pt idx="57" formatCode="0.0">
                  <c:v>0</c:v>
                </c:pt>
                <c:pt idx="58" formatCode="0.0">
                  <c:v>0</c:v>
                </c:pt>
                <c:pt idx="59" formatCode="0.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A5A-4ED8-879B-5C1E7B163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3321819"/>
        <c:axId val="57414099"/>
      </c:lineChart>
      <c:catAx>
        <c:axId val="133218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연월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57414099"/>
        <c:crosses val="autoZero"/>
        <c:auto val="1"/>
        <c:lblAlgn val="ctr"/>
        <c:lblOffset val="100"/>
        <c:noMultiLvlLbl val="0"/>
      </c:catAx>
      <c:valAx>
        <c:axId val="574140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지수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시작월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= 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33218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PBR 추이: 대상기업 vs 비교기업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'2-3_PBR_비교'!$D$22</c:f>
              <c:strCache>
                <c:ptCount val="1"/>
                <c:pt idx="0">
                  <c:v>대상기업 PBR</c:v>
                </c:pt>
              </c:strCache>
            </c:strRef>
          </c:tx>
          <c:spPr>
            <a:ln w="28440">
              <a:solidFill>
                <a:srgbClr val="1F3864"/>
              </a:solidFill>
              <a:round/>
            </a:ln>
          </c:spPr>
          <c:marker>
            <c:symbol val="circle"/>
            <c:size val="7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'2-3_PBR_비교'!$C$23:$C$28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'2-3_PBR_비교'!$D$23:$D$28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C6-4B8B-9797-124ED696907E}"/>
            </c:ext>
          </c:extLst>
        </c:ser>
        <c:ser>
          <c:idx val="1"/>
          <c:order val="1"/>
          <c:tx>
            <c:strRef>
              <c:f>'2-3_PBR_비교'!$E$22</c:f>
              <c:strCache>
                <c:ptCount val="1"/>
                <c:pt idx="0">
                  <c:v>비교기업 PBR</c:v>
                </c:pt>
              </c:strCache>
            </c:strRef>
          </c:tx>
          <c:spPr>
            <a:ln w="28440">
              <a:solidFill>
                <a:srgbClr val="C00000"/>
              </a:solidFill>
              <a:round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'2-3_PBR_비교'!$C$23:$C$28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'2-3_PBR_비교'!$E$23:$E$28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C6-4B8B-9797-124ED6969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0109924"/>
        <c:axId val="62248803"/>
      </c:lineChart>
      <c:catAx>
        <c:axId val="501099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연도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62248803"/>
        <c:crosses val="autoZero"/>
        <c:auto val="1"/>
        <c:lblAlgn val="ctr"/>
        <c:lblOffset val="100"/>
        <c:noMultiLvlLbl val="0"/>
      </c:catAx>
      <c:valAx>
        <c:axId val="622488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PBR (배)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5010992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15</xdr:row>
      <xdr:rowOff>25560</xdr:rowOff>
    </xdr:from>
    <xdr:to>
      <xdr:col>27</xdr:col>
      <xdr:colOff>74520</xdr:colOff>
      <xdr:row>32</xdr:row>
      <xdr:rowOff>18000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32</xdr:row>
      <xdr:rowOff>0</xdr:rowOff>
    </xdr:from>
    <xdr:to>
      <xdr:col>5</xdr:col>
      <xdr:colOff>416520</xdr:colOff>
      <xdr:row>45</xdr:row>
      <xdr:rowOff>34560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86AF-43C1-4CEA-97E1-433A965AF494}">
  <sheetPr>
    <tabColor rgb="FF92D050"/>
  </sheetPr>
  <dimension ref="A1:D50"/>
  <sheetViews>
    <sheetView showGridLines="0" tabSelected="1" zoomScaleNormal="100" workbookViewId="0">
      <selection activeCell="D38" sqref="D38"/>
    </sheetView>
  </sheetViews>
  <sheetFormatPr defaultColWidth="8.73046875" defaultRowHeight="14.25"/>
  <cols>
    <col min="2" max="2" width="3" customWidth="1"/>
    <col min="3" max="3" width="32.3984375" customWidth="1"/>
    <col min="4" max="4" width="102.1328125" customWidth="1"/>
  </cols>
  <sheetData>
    <row r="1" spans="1:4" ht="25.5" customHeight="1">
      <c r="A1" s="1"/>
      <c r="B1" s="143" t="s">
        <v>452</v>
      </c>
      <c r="C1" s="155"/>
      <c r="D1" s="155"/>
    </row>
    <row r="2" spans="1:4" ht="36.75" customHeight="1">
      <c r="A2" s="1"/>
      <c r="B2" s="142" t="s">
        <v>453</v>
      </c>
      <c r="C2" s="155"/>
      <c r="D2" s="155"/>
    </row>
    <row r="3" spans="1:4" ht="15" customHeight="1">
      <c r="A3" s="1"/>
      <c r="B3" s="1"/>
      <c r="C3" s="2"/>
      <c r="D3" s="2"/>
    </row>
    <row r="4" spans="1:4" ht="15" customHeight="1">
      <c r="A4" s="1"/>
      <c r="B4" s="1"/>
      <c r="C4" s="3" t="s">
        <v>0</v>
      </c>
      <c r="D4" s="2"/>
    </row>
    <row r="5" spans="1:4" ht="15" customHeight="1">
      <c r="A5" s="1"/>
      <c r="B5" s="1"/>
      <c r="C5" s="4" t="s">
        <v>1</v>
      </c>
      <c r="D5" s="4" t="s">
        <v>2</v>
      </c>
    </row>
    <row r="6" spans="1:4" ht="18" customHeight="1">
      <c r="A6" s="1"/>
      <c r="B6" s="1"/>
      <c r="C6" s="5"/>
      <c r="D6" s="6" t="s">
        <v>3</v>
      </c>
    </row>
    <row r="7" spans="1:4" ht="18" customHeight="1">
      <c r="A7" s="1"/>
      <c r="B7" s="1"/>
      <c r="C7" s="7" t="s">
        <v>4</v>
      </c>
      <c r="D7" s="6" t="s">
        <v>5</v>
      </c>
    </row>
    <row r="8" spans="1:4" ht="18" customHeight="1">
      <c r="A8" s="1"/>
      <c r="B8" s="1"/>
      <c r="C8" s="8" t="s">
        <v>6</v>
      </c>
      <c r="D8" s="6" t="s">
        <v>7</v>
      </c>
    </row>
    <row r="9" spans="1:4" ht="18" customHeight="1">
      <c r="A9" s="1"/>
      <c r="B9" s="1"/>
      <c r="C9" s="9" t="s">
        <v>8</v>
      </c>
      <c r="D9" s="6" t="s">
        <v>9</v>
      </c>
    </row>
    <row r="10" spans="1:4" ht="18" customHeight="1">
      <c r="A10" s="1"/>
      <c r="B10" s="1"/>
      <c r="C10" s="10" t="s">
        <v>10</v>
      </c>
      <c r="D10" s="6" t="s">
        <v>11</v>
      </c>
    </row>
    <row r="11" spans="1:4" ht="15" customHeight="1">
      <c r="A11" s="1"/>
      <c r="B11" s="1"/>
      <c r="C11" s="2"/>
      <c r="D11" s="2"/>
    </row>
    <row r="12" spans="1:4" ht="15" customHeight="1">
      <c r="A12" s="1"/>
      <c r="B12" s="1"/>
      <c r="C12" s="3" t="s">
        <v>12</v>
      </c>
      <c r="D12" s="2"/>
    </row>
    <row r="13" spans="1:4" ht="15" customHeight="1">
      <c r="A13" s="1"/>
      <c r="B13" s="1"/>
      <c r="C13" s="4" t="s">
        <v>13</v>
      </c>
      <c r="D13" s="4" t="s">
        <v>14</v>
      </c>
    </row>
    <row r="14" spans="1:4" ht="33" customHeight="1">
      <c r="A14" s="1"/>
      <c r="B14" s="1"/>
      <c r="C14" s="11" t="s">
        <v>454</v>
      </c>
      <c r="D14" s="12" t="s">
        <v>455</v>
      </c>
    </row>
    <row r="15" spans="1:4" ht="33" customHeight="1">
      <c r="A15" s="1"/>
      <c r="B15" s="1"/>
      <c r="C15" s="11" t="s">
        <v>456</v>
      </c>
      <c r="D15" s="12" t="s">
        <v>457</v>
      </c>
    </row>
    <row r="16" spans="1:4" ht="33" customHeight="1">
      <c r="A16" s="1"/>
      <c r="B16" s="1"/>
      <c r="C16" s="11" t="s">
        <v>458</v>
      </c>
      <c r="D16" s="12" t="s">
        <v>459</v>
      </c>
    </row>
    <row r="17" spans="1:4" ht="33" customHeight="1">
      <c r="A17" s="1"/>
      <c r="B17" s="1"/>
      <c r="C17" s="11" t="s">
        <v>460</v>
      </c>
      <c r="D17" s="12" t="s">
        <v>461</v>
      </c>
    </row>
    <row r="18" spans="1:4" ht="33" customHeight="1">
      <c r="A18" s="1"/>
      <c r="B18" s="1"/>
      <c r="C18" s="11" t="s">
        <v>462</v>
      </c>
      <c r="D18" s="6" t="s">
        <v>15</v>
      </c>
    </row>
    <row r="19" spans="1:4" ht="33" customHeight="1">
      <c r="A19" s="1"/>
      <c r="B19" s="1"/>
      <c r="C19" s="11" t="s">
        <v>463</v>
      </c>
      <c r="D19" s="6" t="s">
        <v>16</v>
      </c>
    </row>
    <row r="20" spans="1:4" ht="33" customHeight="1">
      <c r="C20" s="11" t="s">
        <v>464</v>
      </c>
      <c r="D20" s="12" t="s">
        <v>465</v>
      </c>
    </row>
    <row r="21" spans="1:4" ht="33" customHeight="1">
      <c r="A21" s="1"/>
      <c r="B21" s="1"/>
      <c r="C21" s="11" t="s">
        <v>466</v>
      </c>
      <c r="D21" s="12" t="s">
        <v>467</v>
      </c>
    </row>
    <row r="22" spans="1:4" ht="33" customHeight="1">
      <c r="A22" s="1"/>
      <c r="B22" s="1"/>
      <c r="C22" s="11" t="s">
        <v>468</v>
      </c>
      <c r="D22" s="13" t="s">
        <v>469</v>
      </c>
    </row>
    <row r="23" spans="1:4" ht="33" customHeight="1">
      <c r="A23" s="1"/>
      <c r="B23" s="1"/>
      <c r="C23" s="11" t="s">
        <v>470</v>
      </c>
      <c r="D23" s="13" t="s">
        <v>471</v>
      </c>
    </row>
    <row r="24" spans="1:4" ht="45" customHeight="1">
      <c r="C24" s="14" t="s">
        <v>472</v>
      </c>
      <c r="D24" s="15" t="s">
        <v>473</v>
      </c>
    </row>
    <row r="25" spans="1:4" ht="48" customHeight="1">
      <c r="C25" s="14" t="s">
        <v>474</v>
      </c>
      <c r="D25" s="15" t="s">
        <v>475</v>
      </c>
    </row>
    <row r="26" spans="1:4" ht="48" customHeight="1">
      <c r="C26" s="14"/>
      <c r="D26" s="15"/>
    </row>
    <row r="27" spans="1:4" ht="39.75" customHeight="1">
      <c r="C27" s="14"/>
      <c r="D27" s="15"/>
    </row>
    <row r="28" spans="1:4" ht="39.75" customHeight="1">
      <c r="C28" s="14"/>
      <c r="D28" s="15"/>
    </row>
    <row r="29" spans="1:4" ht="39.75" customHeight="1">
      <c r="C29" s="14"/>
      <c r="D29" s="15"/>
    </row>
    <row r="30" spans="1:4" ht="39.75" customHeight="1">
      <c r="C30" s="14"/>
      <c r="D30" s="15"/>
    </row>
    <row r="31" spans="1:4" ht="39.75" customHeight="1">
      <c r="C31" s="14"/>
      <c r="D31" s="15"/>
    </row>
    <row r="32" spans="1:4" ht="39.75" customHeight="1">
      <c r="C32" s="14"/>
      <c r="D32" s="15"/>
    </row>
    <row r="33" spans="1:4" ht="39.75" customHeight="1">
      <c r="C33" s="14"/>
      <c r="D33" s="15"/>
    </row>
    <row r="34" spans="1:4" ht="39.75" customHeight="1">
      <c r="C34" s="14"/>
      <c r="D34" s="15"/>
    </row>
    <row r="35" spans="1:4" ht="39.75" customHeight="1">
      <c r="C35" s="14"/>
      <c r="D35" s="15"/>
    </row>
    <row r="36" spans="1:4" ht="39.75" customHeight="1">
      <c r="C36" s="14"/>
      <c r="D36" s="15"/>
    </row>
    <row r="37" spans="1:4" ht="39.75" customHeight="1">
      <c r="C37" s="14"/>
      <c r="D37" s="15"/>
    </row>
    <row r="38" spans="1:4" ht="39.75" customHeight="1">
      <c r="C38" s="14"/>
      <c r="D38" s="15"/>
    </row>
    <row r="39" spans="1:4" ht="39.75" customHeight="1">
      <c r="C39" s="14"/>
      <c r="D39" s="15"/>
    </row>
    <row r="40" spans="1:4" ht="39.75" customHeight="1">
      <c r="C40" s="14"/>
      <c r="D40" s="15"/>
    </row>
    <row r="41" spans="1:4" ht="16.5" customHeight="1">
      <c r="A41" s="1"/>
      <c r="B41" s="1"/>
      <c r="C41" s="16"/>
      <c r="D41" s="17"/>
    </row>
    <row r="42" spans="1:4" ht="14.25" customHeight="1">
      <c r="A42" s="1"/>
      <c r="B42" s="1"/>
      <c r="C42" s="2"/>
      <c r="D42" s="2"/>
    </row>
    <row r="43" spans="1:4" ht="14.25" customHeight="1">
      <c r="A43" s="1"/>
      <c r="B43" s="1"/>
      <c r="C43" s="3" t="s">
        <v>17</v>
      </c>
      <c r="D43" s="2"/>
    </row>
    <row r="44" spans="1:4" ht="32.25" customHeight="1">
      <c r="A44" s="1"/>
      <c r="B44" s="1"/>
      <c r="C44" s="18" t="s">
        <v>18</v>
      </c>
      <c r="D44" s="19" t="s">
        <v>19</v>
      </c>
    </row>
    <row r="45" spans="1:4" ht="32.25" customHeight="1">
      <c r="A45" s="1"/>
      <c r="B45" s="1"/>
      <c r="C45" s="18" t="s">
        <v>18</v>
      </c>
      <c r="D45" s="19" t="s">
        <v>476</v>
      </c>
    </row>
    <row r="46" spans="1:4" ht="32.25" customHeight="1">
      <c r="A46" s="1"/>
      <c r="B46" s="1"/>
      <c r="C46" s="18" t="s">
        <v>18</v>
      </c>
      <c r="D46" s="20" t="s">
        <v>477</v>
      </c>
    </row>
    <row r="47" spans="1:4" ht="32.25" customHeight="1">
      <c r="A47" s="1"/>
      <c r="B47" s="1"/>
      <c r="C47" s="18" t="s">
        <v>18</v>
      </c>
      <c r="D47" s="19" t="s">
        <v>20</v>
      </c>
    </row>
    <row r="48" spans="1:4" ht="32.25" customHeight="1">
      <c r="C48" s="18" t="s">
        <v>18</v>
      </c>
      <c r="D48" s="19" t="s">
        <v>21</v>
      </c>
    </row>
    <row r="49" spans="1:4" ht="14.25" customHeight="1">
      <c r="A49" s="1"/>
      <c r="B49" s="1"/>
      <c r="C49" s="2"/>
      <c r="D49" s="2"/>
    </row>
    <row r="50" spans="1:4" ht="14.25" customHeight="1">
      <c r="A50" s="1"/>
      <c r="B50" s="1"/>
      <c r="C50" s="2"/>
      <c r="D50" s="2"/>
    </row>
  </sheetData>
  <mergeCells count="2">
    <mergeCell ref="B1:D1"/>
    <mergeCell ref="B2:D2"/>
  </mergeCells>
  <phoneticPr fontId="6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F37"/>
  <sheetViews>
    <sheetView showGridLines="0" zoomScaleNormal="100" workbookViewId="0">
      <selection activeCell="C33" sqref="C33:F37"/>
    </sheetView>
  </sheetViews>
  <sheetFormatPr defaultColWidth="8.73046875" defaultRowHeight="14.25"/>
  <cols>
    <col min="2" max="2" width="3" customWidth="1"/>
    <col min="3" max="3" width="24" customWidth="1"/>
    <col min="4" max="4" width="42.73046875" customWidth="1"/>
    <col min="5" max="5" width="46.73046875" customWidth="1"/>
    <col min="6" max="6" width="34" customWidth="1"/>
  </cols>
  <sheetData>
    <row r="1" spans="1:6" ht="25.5" customHeight="1">
      <c r="A1" s="21"/>
      <c r="B1" s="144" t="s">
        <v>22</v>
      </c>
      <c r="C1" s="144"/>
      <c r="D1" s="144"/>
      <c r="E1" s="21"/>
      <c r="F1" s="21"/>
    </row>
    <row r="2" spans="1:6" ht="15.75" customHeight="1">
      <c r="A2" s="21"/>
      <c r="B2" s="145" t="s">
        <v>23</v>
      </c>
      <c r="C2" s="145"/>
      <c r="D2" s="145"/>
      <c r="E2" s="145"/>
      <c r="F2" s="145"/>
    </row>
    <row r="3" spans="1:6" ht="15" customHeight="1">
      <c r="A3" s="21"/>
      <c r="B3" s="21"/>
      <c r="C3" s="21"/>
      <c r="D3" s="21"/>
      <c r="E3" s="21"/>
      <c r="F3" s="21"/>
    </row>
    <row r="4" spans="1:6" ht="16.5" customHeight="1">
      <c r="A4" s="21"/>
      <c r="B4" s="21"/>
      <c r="C4" s="22" t="s">
        <v>24</v>
      </c>
      <c r="D4" s="22" t="s">
        <v>25</v>
      </c>
      <c r="E4" s="22" t="s">
        <v>26</v>
      </c>
      <c r="F4" s="22" t="s">
        <v>27</v>
      </c>
    </row>
    <row r="5" spans="1:6" ht="26.25" customHeight="1">
      <c r="A5" s="21"/>
      <c r="B5" s="21"/>
      <c r="C5" s="23" t="s">
        <v>28</v>
      </c>
      <c r="D5" s="24"/>
      <c r="E5" s="24"/>
      <c r="F5" s="25" t="s">
        <v>29</v>
      </c>
    </row>
    <row r="6" spans="1:6" ht="16.5" customHeight="1">
      <c r="A6" s="21"/>
      <c r="B6" s="21"/>
      <c r="C6" s="23" t="s">
        <v>30</v>
      </c>
      <c r="D6" s="26"/>
      <c r="E6" s="26"/>
      <c r="F6" s="27" t="s">
        <v>31</v>
      </c>
    </row>
    <row r="7" spans="1:6" ht="16.5" customHeight="1">
      <c r="A7" s="21"/>
      <c r="B7" s="21"/>
      <c r="C7" s="23" t="s">
        <v>32</v>
      </c>
      <c r="D7" s="26"/>
      <c r="E7" s="26"/>
      <c r="F7" s="27" t="s">
        <v>33</v>
      </c>
    </row>
    <row r="8" spans="1:6" ht="16.5" customHeight="1">
      <c r="A8" s="21"/>
      <c r="B8" s="21"/>
      <c r="C8" s="23" t="s">
        <v>34</v>
      </c>
      <c r="D8" s="28"/>
      <c r="E8" s="28"/>
      <c r="F8" s="25" t="s">
        <v>35</v>
      </c>
    </row>
    <row r="9" spans="1:6" ht="16.5" customHeight="1">
      <c r="A9" s="21"/>
      <c r="B9" s="21"/>
      <c r="C9" s="23" t="s">
        <v>36</v>
      </c>
      <c r="D9" s="24"/>
      <c r="E9" s="24"/>
      <c r="F9" s="25" t="s">
        <v>37</v>
      </c>
    </row>
    <row r="10" spans="1:6" ht="44.25" customHeight="1">
      <c r="A10" s="21"/>
      <c r="B10" s="21"/>
      <c r="C10" s="23" t="s">
        <v>38</v>
      </c>
      <c r="D10" s="29"/>
      <c r="E10" s="29"/>
      <c r="F10" s="27" t="s">
        <v>39</v>
      </c>
    </row>
    <row r="11" spans="1:6" ht="16.5" customHeight="1">
      <c r="A11" s="21"/>
      <c r="B11" s="21"/>
      <c r="C11" s="23" t="s">
        <v>40</v>
      </c>
      <c r="D11" s="26"/>
      <c r="E11" s="26"/>
      <c r="F11" s="25" t="s">
        <v>41</v>
      </c>
    </row>
    <row r="12" spans="1:6" ht="27" customHeight="1">
      <c r="A12" s="21"/>
      <c r="B12" s="21"/>
      <c r="C12" s="23" t="s">
        <v>42</v>
      </c>
      <c r="D12" s="30"/>
      <c r="E12" s="30"/>
      <c r="F12" s="25" t="s">
        <v>43</v>
      </c>
    </row>
    <row r="13" spans="1:6" ht="16.5" customHeight="1">
      <c r="A13" s="21"/>
      <c r="B13" s="21"/>
      <c r="C13" s="23" t="s">
        <v>44</v>
      </c>
      <c r="D13" s="30"/>
      <c r="E13" s="30"/>
      <c r="F13" s="25" t="s">
        <v>45</v>
      </c>
    </row>
    <row r="14" spans="1:6" ht="16.5" customHeight="1">
      <c r="A14" s="21"/>
      <c r="B14" s="21"/>
      <c r="C14" s="23" t="s">
        <v>46</v>
      </c>
      <c r="D14" s="30"/>
      <c r="E14" s="30"/>
      <c r="F14" s="25" t="s">
        <v>47</v>
      </c>
    </row>
    <row r="15" spans="1:6" ht="36" customHeight="1">
      <c r="A15" s="21"/>
      <c r="B15" s="21"/>
      <c r="C15" s="23" t="s">
        <v>48</v>
      </c>
      <c r="D15" s="29"/>
      <c r="E15" s="24"/>
      <c r="F15" s="27" t="s">
        <v>49</v>
      </c>
    </row>
    <row r="16" spans="1:6" ht="31.5" customHeight="1">
      <c r="A16" s="21"/>
      <c r="B16" s="21"/>
      <c r="C16" s="23" t="s">
        <v>50</v>
      </c>
      <c r="D16" s="24"/>
      <c r="E16" s="24"/>
      <c r="F16" s="27" t="s">
        <v>51</v>
      </c>
    </row>
    <row r="17" spans="1:6" ht="16.5" customHeight="1">
      <c r="A17" s="21"/>
      <c r="B17" s="21"/>
      <c r="C17" s="23" t="s">
        <v>52</v>
      </c>
      <c r="D17" s="24"/>
      <c r="E17" s="24"/>
      <c r="F17" s="27" t="s">
        <v>53</v>
      </c>
    </row>
    <row r="18" spans="1:6" ht="16.5" customHeight="1">
      <c r="A18" s="21"/>
      <c r="B18" s="21"/>
      <c r="C18" s="23" t="s">
        <v>54</v>
      </c>
      <c r="D18" s="24"/>
      <c r="E18" s="24"/>
      <c r="F18" s="25" t="s">
        <v>55</v>
      </c>
    </row>
    <row r="19" spans="1:6" ht="16.5" customHeight="1">
      <c r="A19" s="21"/>
      <c r="B19" s="21"/>
      <c r="C19" s="23" t="s">
        <v>56</v>
      </c>
      <c r="D19" s="26"/>
      <c r="E19" s="26"/>
      <c r="F19" s="27" t="s">
        <v>57</v>
      </c>
    </row>
    <row r="20" spans="1:6" ht="16.5" customHeight="1">
      <c r="A20" s="21"/>
      <c r="B20" s="21"/>
      <c r="C20" s="23" t="s">
        <v>58</v>
      </c>
      <c r="D20" s="26"/>
      <c r="E20" s="26"/>
      <c r="F20" s="27" t="s">
        <v>59</v>
      </c>
    </row>
    <row r="21" spans="1:6" ht="15" customHeight="1">
      <c r="A21" s="21"/>
      <c r="B21" s="21"/>
      <c r="C21" s="21"/>
      <c r="D21" s="21"/>
      <c r="E21" s="21"/>
      <c r="F21" s="21"/>
    </row>
    <row r="22" spans="1:6" ht="16.5" customHeight="1">
      <c r="A22" s="21"/>
      <c r="B22" s="21"/>
      <c r="C22" s="31" t="s">
        <v>60</v>
      </c>
      <c r="D22" s="21"/>
      <c r="E22" s="21"/>
      <c r="F22" s="21"/>
    </row>
    <row r="23" spans="1:6" ht="30.75" customHeight="1">
      <c r="A23" s="21"/>
      <c r="B23" s="21"/>
      <c r="C23" s="32" t="s">
        <v>24</v>
      </c>
      <c r="D23" s="32" t="s">
        <v>25</v>
      </c>
      <c r="E23" s="32" t="s">
        <v>26</v>
      </c>
      <c r="F23" s="32"/>
    </row>
    <row r="24" spans="1:6" ht="15" customHeight="1">
      <c r="A24" s="21"/>
      <c r="B24" s="21"/>
      <c r="C24" s="33" t="s">
        <v>28</v>
      </c>
      <c r="D24" s="33" t="s">
        <v>61</v>
      </c>
      <c r="E24" s="33" t="s">
        <v>62</v>
      </c>
      <c r="F24" s="33"/>
    </row>
    <row r="25" spans="1:6" ht="15" customHeight="1">
      <c r="A25" s="21"/>
      <c r="B25" s="21"/>
      <c r="C25" s="33" t="s">
        <v>30</v>
      </c>
      <c r="D25" s="34" t="s">
        <v>63</v>
      </c>
      <c r="E25" s="34" t="s">
        <v>64</v>
      </c>
      <c r="F25" s="33"/>
    </row>
    <row r="26" spans="1:6" ht="15" customHeight="1">
      <c r="A26" s="21"/>
      <c r="B26" s="21"/>
      <c r="C26" s="33" t="s">
        <v>32</v>
      </c>
      <c r="D26" s="34" t="s">
        <v>65</v>
      </c>
      <c r="E26" s="34" t="s">
        <v>65</v>
      </c>
      <c r="F26" s="33"/>
    </row>
    <row r="27" spans="1:6" ht="27.75" customHeight="1">
      <c r="A27" s="21"/>
      <c r="B27" s="21"/>
      <c r="C27" s="33" t="s">
        <v>36</v>
      </c>
      <c r="D27" s="33" t="s">
        <v>66</v>
      </c>
      <c r="E27" s="35" t="s">
        <v>66</v>
      </c>
      <c r="F27" s="33"/>
    </row>
    <row r="28" spans="1:6" ht="27.75" customHeight="1">
      <c r="A28" s="21"/>
      <c r="B28" s="21"/>
      <c r="C28" s="33" t="s">
        <v>42</v>
      </c>
      <c r="D28" s="34" t="s">
        <v>67</v>
      </c>
      <c r="E28" s="36" t="s">
        <v>68</v>
      </c>
      <c r="F28" s="33"/>
    </row>
    <row r="29" spans="1:6" ht="15.75" customHeight="1">
      <c r="A29" s="21"/>
      <c r="B29" s="21"/>
      <c r="C29" s="146" t="s">
        <v>69</v>
      </c>
      <c r="D29" s="146"/>
      <c r="E29" s="146"/>
      <c r="F29" s="146"/>
    </row>
    <row r="30" spans="1:6" ht="15" customHeight="1">
      <c r="A30" s="21"/>
      <c r="B30" s="21"/>
      <c r="C30" s="21"/>
      <c r="D30" s="21"/>
      <c r="E30" s="21"/>
      <c r="F30" s="21"/>
    </row>
    <row r="31" spans="1:6" ht="15" customHeight="1">
      <c r="A31" s="21"/>
      <c r="B31" s="21"/>
      <c r="C31" s="21"/>
      <c r="D31" s="21"/>
      <c r="E31" s="21"/>
      <c r="F31" s="21"/>
    </row>
    <row r="32" spans="1:6" ht="18.75" customHeight="1">
      <c r="A32" s="21"/>
      <c r="B32" s="21"/>
      <c r="C32" s="147" t="s">
        <v>70</v>
      </c>
      <c r="D32" s="147"/>
      <c r="E32" s="21"/>
      <c r="F32" s="21"/>
    </row>
    <row r="33" spans="1:6" ht="14.25" customHeight="1">
      <c r="A33" s="21"/>
      <c r="B33" s="21"/>
      <c r="C33" s="148"/>
      <c r="D33" s="148"/>
      <c r="E33" s="148"/>
      <c r="F33" s="148"/>
    </row>
    <row r="34" spans="1:6" ht="15" customHeight="1">
      <c r="A34" s="21"/>
      <c r="B34" s="21"/>
      <c r="C34" s="148"/>
      <c r="D34" s="148"/>
      <c r="E34" s="148"/>
      <c r="F34" s="148"/>
    </row>
    <row r="35" spans="1:6" ht="15" customHeight="1">
      <c r="A35" s="21"/>
      <c r="B35" s="21"/>
      <c r="C35" s="148"/>
      <c r="D35" s="148"/>
      <c r="E35" s="148"/>
      <c r="F35" s="148"/>
    </row>
    <row r="36" spans="1:6" ht="15" customHeight="1">
      <c r="A36" s="21"/>
      <c r="B36" s="21"/>
      <c r="C36" s="148"/>
      <c r="D36" s="148"/>
      <c r="E36" s="148"/>
      <c r="F36" s="148"/>
    </row>
    <row r="37" spans="1:6" ht="81.75" customHeight="1">
      <c r="A37" s="21"/>
      <c r="B37" s="21"/>
      <c r="C37" s="148"/>
      <c r="D37" s="148"/>
      <c r="E37" s="148"/>
      <c r="F37" s="148"/>
    </row>
  </sheetData>
  <mergeCells count="5">
    <mergeCell ref="B1:D1"/>
    <mergeCell ref="B2:F2"/>
    <mergeCell ref="C29:F29"/>
    <mergeCell ref="C32:D32"/>
    <mergeCell ref="C33:F37"/>
  </mergeCells>
  <phoneticPr fontId="63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E23"/>
  <sheetViews>
    <sheetView showGridLines="0" zoomScaleNormal="100" workbookViewId="0">
      <selection activeCell="D19" sqref="D19:E23"/>
    </sheetView>
  </sheetViews>
  <sheetFormatPr defaultColWidth="8.73046875" defaultRowHeight="14.25"/>
  <cols>
    <col min="2" max="2" width="3" customWidth="1"/>
    <col min="3" max="3" width="25.59765625" customWidth="1"/>
    <col min="4" max="4" width="72.265625" customWidth="1"/>
    <col min="5" max="5" width="73" customWidth="1"/>
  </cols>
  <sheetData>
    <row r="1" spans="1:5" ht="25.5" customHeight="1">
      <c r="A1" s="21"/>
      <c r="B1" s="144" t="s">
        <v>71</v>
      </c>
      <c r="C1" s="144"/>
      <c r="D1" s="144"/>
      <c r="E1" s="21"/>
    </row>
    <row r="2" spans="1:5" ht="15.75" customHeight="1">
      <c r="A2" s="21"/>
      <c r="B2" s="146" t="s">
        <v>72</v>
      </c>
      <c r="C2" s="146"/>
      <c r="D2" s="146"/>
      <c r="E2" s="146"/>
    </row>
    <row r="3" spans="1:5" ht="15" customHeight="1">
      <c r="A3" s="21"/>
      <c r="B3" s="21"/>
      <c r="C3" s="21"/>
      <c r="D3" s="21"/>
      <c r="E3" s="21"/>
    </row>
    <row r="4" spans="1:5" ht="16.5" customHeight="1">
      <c r="A4" s="21"/>
      <c r="B4" s="21"/>
      <c r="C4" s="22" t="s">
        <v>73</v>
      </c>
      <c r="D4" s="22" t="s">
        <v>25</v>
      </c>
      <c r="E4" s="22" t="s">
        <v>26</v>
      </c>
    </row>
    <row r="5" spans="1:5" ht="333.75" customHeight="1">
      <c r="A5" s="21"/>
      <c r="B5" s="21"/>
      <c r="C5" s="37" t="s">
        <v>74</v>
      </c>
      <c r="D5" s="120"/>
      <c r="E5" s="38"/>
    </row>
    <row r="6" spans="1:5" ht="351" customHeight="1">
      <c r="A6" s="21"/>
      <c r="B6" s="21"/>
      <c r="C6" s="37" t="s">
        <v>75</v>
      </c>
      <c r="D6" s="120"/>
      <c r="E6" s="120"/>
    </row>
    <row r="7" spans="1:5" ht="74.25" customHeight="1">
      <c r="A7" s="21"/>
      <c r="B7" s="21"/>
      <c r="C7" s="37" t="s">
        <v>76</v>
      </c>
      <c r="D7" s="29"/>
      <c r="E7" s="29"/>
    </row>
    <row r="8" spans="1:5" ht="228" customHeight="1">
      <c r="A8" s="21"/>
      <c r="B8" s="21"/>
      <c r="C8" s="37" t="s">
        <v>77</v>
      </c>
      <c r="D8" s="38"/>
      <c r="E8" s="26"/>
    </row>
    <row r="9" spans="1:5" ht="147" customHeight="1">
      <c r="A9" s="21"/>
      <c r="B9" s="21"/>
      <c r="C9" s="37" t="s">
        <v>78</v>
      </c>
      <c r="D9" s="120"/>
      <c r="E9" s="29"/>
    </row>
    <row r="10" spans="1:5" ht="149.25" customHeight="1">
      <c r="A10" s="21"/>
      <c r="B10" s="21"/>
      <c r="C10" s="37" t="s">
        <v>79</v>
      </c>
      <c r="D10" s="29"/>
      <c r="E10" s="29"/>
    </row>
    <row r="11" spans="1:5" ht="73.5" customHeight="1">
      <c r="A11" s="21"/>
      <c r="B11" s="21"/>
      <c r="C11" s="37" t="s">
        <v>80</v>
      </c>
      <c r="D11" s="120"/>
      <c r="E11" s="120"/>
    </row>
    <row r="12" spans="1:5" ht="102.75" customHeight="1">
      <c r="A12" s="21"/>
      <c r="B12" s="21"/>
      <c r="C12" s="37" t="s">
        <v>81</v>
      </c>
      <c r="D12" s="26"/>
      <c r="E12" s="121"/>
    </row>
    <row r="13" spans="1:5" ht="99.75" customHeight="1">
      <c r="A13" s="21"/>
      <c r="B13" s="21"/>
      <c r="C13" s="37" t="s">
        <v>82</v>
      </c>
      <c r="D13" s="29"/>
      <c r="E13" s="38"/>
    </row>
    <row r="14" spans="1:5" ht="104.25" customHeight="1">
      <c r="A14" s="21"/>
      <c r="B14" s="21"/>
      <c r="C14" s="37" t="s">
        <v>83</v>
      </c>
      <c r="D14" s="121"/>
      <c r="E14" s="29"/>
    </row>
    <row r="15" spans="1:5" ht="15" customHeight="1">
      <c r="A15" s="21"/>
      <c r="B15" s="21"/>
      <c r="C15" s="21"/>
      <c r="D15" s="21"/>
      <c r="E15" s="21"/>
    </row>
    <row r="16" spans="1:5" ht="15" customHeight="1">
      <c r="A16" s="21"/>
      <c r="B16" s="21"/>
      <c r="C16" s="21"/>
      <c r="D16" s="21"/>
      <c r="E16" s="21"/>
    </row>
    <row r="17" spans="1:5" ht="15" customHeight="1">
      <c r="A17" s="21"/>
      <c r="B17" s="21"/>
      <c r="C17" s="31" t="s">
        <v>84</v>
      </c>
      <c r="D17" s="21"/>
      <c r="E17" s="21"/>
    </row>
    <row r="18" spans="1:5" ht="15.75" customHeight="1">
      <c r="A18" s="21"/>
      <c r="B18" s="21"/>
      <c r="C18" s="32" t="s">
        <v>85</v>
      </c>
      <c r="D18" s="32" t="s">
        <v>86</v>
      </c>
      <c r="E18" s="32" t="s">
        <v>87</v>
      </c>
    </row>
    <row r="19" spans="1:5" ht="15.75" customHeight="1">
      <c r="A19" s="21"/>
      <c r="B19" s="21"/>
      <c r="C19" s="39" t="s">
        <v>88</v>
      </c>
      <c r="D19" s="40"/>
      <c r="E19" s="40"/>
    </row>
    <row r="20" spans="1:5" ht="35.25" customHeight="1">
      <c r="A20" s="21"/>
      <c r="B20" s="21"/>
      <c r="C20" s="39" t="s">
        <v>89</v>
      </c>
      <c r="D20" s="119"/>
      <c r="E20" s="40"/>
    </row>
    <row r="21" spans="1:5" ht="30.75" customHeight="1">
      <c r="A21" s="21"/>
      <c r="B21" s="21"/>
      <c r="C21" s="39" t="s">
        <v>90</v>
      </c>
      <c r="D21" s="41"/>
      <c r="E21" s="119"/>
    </row>
    <row r="22" spans="1:5" ht="24.75" customHeight="1">
      <c r="A22" s="21"/>
      <c r="B22" s="21"/>
      <c r="C22" s="39" t="s">
        <v>91</v>
      </c>
      <c r="D22" s="41"/>
      <c r="E22" s="119"/>
    </row>
    <row r="23" spans="1:5" ht="30.75" customHeight="1">
      <c r="A23" s="21"/>
      <c r="B23" s="21"/>
      <c r="C23" s="39" t="s">
        <v>92</v>
      </c>
      <c r="D23" s="41"/>
      <c r="E23" s="40"/>
    </row>
  </sheetData>
  <mergeCells count="2">
    <mergeCell ref="B1:D1"/>
    <mergeCell ref="B2:E2"/>
  </mergeCells>
  <phoneticPr fontId="6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A82"/>
  <sheetViews>
    <sheetView showGridLines="0" zoomScaleNormal="100" workbookViewId="0">
      <selection activeCell="AE29" sqref="AE29"/>
    </sheetView>
  </sheetViews>
  <sheetFormatPr defaultColWidth="8.73046875" defaultRowHeight="14.25"/>
  <cols>
    <col min="2" max="2" width="3" customWidth="1"/>
    <col min="3" max="3" width="12" customWidth="1"/>
    <col min="4" max="4" width="13" customWidth="1"/>
  </cols>
  <sheetData>
    <row r="1" spans="1:25" ht="25.5" customHeight="1">
      <c r="A1" s="21"/>
      <c r="B1" s="144" t="s">
        <v>93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21"/>
      <c r="N1" s="21"/>
    </row>
    <row r="2" spans="1:25" ht="27.75" customHeight="1">
      <c r="A2" s="21"/>
      <c r="B2" s="146" t="s">
        <v>94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21"/>
      <c r="N2" s="21"/>
    </row>
    <row r="3" spans="1:25" ht="1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25" ht="18.75" customHeight="1">
      <c r="A4" s="21"/>
      <c r="B4" s="21"/>
      <c r="C4" s="147" t="s">
        <v>95</v>
      </c>
      <c r="D4" s="147"/>
      <c r="E4" s="147"/>
      <c r="F4" s="147"/>
      <c r="G4" s="21"/>
      <c r="H4" s="21"/>
      <c r="I4" s="21"/>
      <c r="J4" s="21"/>
      <c r="K4" s="21"/>
      <c r="L4" s="21"/>
      <c r="M4" s="21"/>
      <c r="N4" s="21"/>
    </row>
    <row r="5" spans="1:25" ht="44.25" customHeight="1">
      <c r="A5" s="21"/>
      <c r="B5" s="21"/>
      <c r="C5" s="32" t="s">
        <v>96</v>
      </c>
      <c r="D5" s="32" t="s">
        <v>97</v>
      </c>
      <c r="E5" s="32" t="s">
        <v>98</v>
      </c>
      <c r="F5" s="42" t="s">
        <v>65</v>
      </c>
      <c r="G5" s="32" t="s">
        <v>99</v>
      </c>
      <c r="H5" s="32" t="s">
        <v>100</v>
      </c>
      <c r="I5" s="42" t="s">
        <v>101</v>
      </c>
      <c r="J5" s="21"/>
      <c r="K5" s="21"/>
      <c r="L5" s="21"/>
      <c r="M5" s="21"/>
      <c r="N5" s="21"/>
    </row>
    <row r="6" spans="1:25" ht="15" customHeight="1">
      <c r="A6" s="21"/>
      <c r="B6" s="21"/>
      <c r="C6" s="34" t="s">
        <v>102</v>
      </c>
      <c r="D6" s="43">
        <v>60000</v>
      </c>
      <c r="E6" s="43">
        <v>25000</v>
      </c>
      <c r="F6" s="43">
        <v>2267</v>
      </c>
      <c r="G6" s="44" t="s">
        <v>103</v>
      </c>
      <c r="H6" s="44" t="s">
        <v>103</v>
      </c>
      <c r="I6" s="44" t="s">
        <v>103</v>
      </c>
      <c r="J6" s="21"/>
      <c r="K6" s="21"/>
      <c r="L6" s="21"/>
      <c r="M6" s="21"/>
      <c r="N6" s="21"/>
    </row>
    <row r="7" spans="1:25" ht="15" customHeight="1">
      <c r="A7" s="21"/>
      <c r="B7" s="21"/>
      <c r="C7" s="34" t="s">
        <v>104</v>
      </c>
      <c r="D7" s="43">
        <v>66700</v>
      </c>
      <c r="E7" s="43">
        <v>26500</v>
      </c>
      <c r="F7" s="43">
        <v>2591.3000000000002</v>
      </c>
      <c r="G7" s="45">
        <f t="shared" ref="G7:I8" si="0">D7/D6-1</f>
        <v>0.11166666666666658</v>
      </c>
      <c r="H7" s="45">
        <f t="shared" si="0"/>
        <v>6.0000000000000053E-2</v>
      </c>
      <c r="I7" s="45">
        <f t="shared" si="0"/>
        <v>0.14305249228054695</v>
      </c>
      <c r="J7" s="21"/>
      <c r="K7" s="21"/>
      <c r="L7" s="21"/>
      <c r="M7" s="21"/>
      <c r="N7" s="21"/>
    </row>
    <row r="8" spans="1:25" ht="15" customHeight="1">
      <c r="A8" s="21"/>
      <c r="B8" s="21"/>
      <c r="C8" s="34" t="s">
        <v>105</v>
      </c>
      <c r="D8" s="43">
        <v>81000</v>
      </c>
      <c r="E8" s="43">
        <v>27200</v>
      </c>
      <c r="F8" s="43">
        <v>2873.5</v>
      </c>
      <c r="G8" s="45">
        <f t="shared" si="0"/>
        <v>0.21439280359820101</v>
      </c>
      <c r="H8" s="45">
        <f t="shared" si="0"/>
        <v>2.6415094339622636E-2</v>
      </c>
      <c r="I8" s="45">
        <f t="shared" si="0"/>
        <v>0.10890286728669007</v>
      </c>
      <c r="J8" s="21"/>
      <c r="K8" s="21"/>
      <c r="L8" s="21"/>
      <c r="M8" s="21"/>
      <c r="N8" s="21"/>
    </row>
    <row r="9" spans="1:25" ht="15.75" customHeight="1">
      <c r="A9" s="21"/>
      <c r="B9" s="21"/>
      <c r="C9" s="146" t="s">
        <v>106</v>
      </c>
      <c r="D9" s="146"/>
      <c r="E9" s="146"/>
      <c r="F9" s="146"/>
      <c r="G9" s="146"/>
      <c r="H9" s="146"/>
      <c r="I9" s="146"/>
      <c r="J9" s="21"/>
      <c r="K9" s="21"/>
      <c r="L9" s="21"/>
      <c r="M9" s="21"/>
      <c r="N9" s="21"/>
    </row>
    <row r="10" spans="1:25" ht="1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</row>
    <row r="11" spans="1:25" ht="1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spans="1:25" ht="18.75" customHeight="1">
      <c r="A12" s="21"/>
      <c r="B12" s="21"/>
      <c r="C12" s="147" t="s">
        <v>107</v>
      </c>
      <c r="D12" s="147"/>
      <c r="E12" s="147"/>
      <c r="F12" s="147"/>
      <c r="G12" s="21"/>
      <c r="H12" s="21"/>
      <c r="I12" s="21"/>
      <c r="J12" s="21"/>
      <c r="K12" s="21"/>
      <c r="L12" s="21"/>
      <c r="M12" s="21"/>
      <c r="N12" s="21"/>
    </row>
    <row r="13" spans="1:25" ht="44.25" customHeight="1">
      <c r="A13" s="21"/>
      <c r="B13" s="21"/>
      <c r="C13" s="32" t="s">
        <v>96</v>
      </c>
      <c r="D13" s="32" t="s">
        <v>97</v>
      </c>
      <c r="E13" s="32" t="s">
        <v>98</v>
      </c>
      <c r="F13" s="42" t="s">
        <v>65</v>
      </c>
      <c r="G13" s="32" t="s">
        <v>99</v>
      </c>
      <c r="H13" s="32" t="s">
        <v>100</v>
      </c>
      <c r="I13" s="42" t="s">
        <v>101</v>
      </c>
      <c r="J13" s="32" t="s">
        <v>108</v>
      </c>
      <c r="K13" s="32" t="s">
        <v>109</v>
      </c>
      <c r="L13" s="42" t="s">
        <v>110</v>
      </c>
      <c r="M13" s="21"/>
      <c r="N13" s="146" t="s">
        <v>111</v>
      </c>
      <c r="O13" s="146"/>
      <c r="P13" s="146"/>
      <c r="Q13" s="146"/>
      <c r="R13" s="146"/>
      <c r="S13" s="146"/>
      <c r="T13" s="146"/>
      <c r="U13" s="146"/>
      <c r="V13" s="146"/>
      <c r="W13" s="146"/>
    </row>
    <row r="14" spans="1:25" ht="33" customHeight="1">
      <c r="A14" s="21"/>
      <c r="B14" s="21"/>
      <c r="C14" s="46" t="s">
        <v>112</v>
      </c>
      <c r="D14" s="47"/>
      <c r="E14" s="47"/>
      <c r="F14" s="48"/>
      <c r="G14" s="49" t="s">
        <v>103</v>
      </c>
      <c r="H14" s="49" t="s">
        <v>103</v>
      </c>
      <c r="I14" s="49" t="s">
        <v>103</v>
      </c>
      <c r="J14" s="50">
        <v>100</v>
      </c>
      <c r="K14" s="50">
        <v>100</v>
      </c>
      <c r="L14" s="50">
        <v>100</v>
      </c>
      <c r="M14" s="21"/>
      <c r="N14" s="149" t="s">
        <v>113</v>
      </c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</row>
    <row r="15" spans="1:25" ht="15.75" customHeight="1">
      <c r="A15" s="21"/>
      <c r="B15" s="21"/>
      <c r="C15" s="46" t="s">
        <v>114</v>
      </c>
      <c r="D15" s="47"/>
      <c r="E15" s="47"/>
      <c r="F15" s="48"/>
      <c r="G15" s="49" t="str">
        <f t="shared" ref="G15:G46" si="1">IFERROR(D15/D14-1,"")</f>
        <v/>
      </c>
      <c r="H15" s="49" t="str">
        <f t="shared" ref="H15:H46" si="2">IFERROR(E15/E14-1,"")</f>
        <v/>
      </c>
      <c r="I15" s="49" t="str">
        <f t="shared" ref="I15:I46" si="3">IFERROR(F15/F14-1,"")</f>
        <v/>
      </c>
      <c r="J15" s="51" t="str">
        <f t="shared" ref="J15:J46" si="4">IFERROR(J14*(1+G15),"")</f>
        <v/>
      </c>
      <c r="K15" s="51" t="str">
        <f t="shared" ref="K15:K46" si="5">IFERROR(K14*(1+H15),"")</f>
        <v/>
      </c>
      <c r="L15" s="51" t="str">
        <f t="shared" ref="L15:L46" si="6">IFERROR(L14*(1+I15),"")</f>
        <v/>
      </c>
      <c r="M15" s="21"/>
      <c r="N15" s="146" t="s">
        <v>115</v>
      </c>
      <c r="O15" s="146"/>
      <c r="P15" s="146"/>
      <c r="Q15" s="146"/>
      <c r="R15" s="146"/>
      <c r="S15" s="146"/>
      <c r="T15" s="146"/>
      <c r="U15" s="146"/>
      <c r="V15" s="146"/>
      <c r="W15" s="146"/>
      <c r="X15" s="146"/>
    </row>
    <row r="16" spans="1:25" ht="15.75" customHeight="1">
      <c r="A16" s="21"/>
      <c r="B16" s="21"/>
      <c r="C16" s="46" t="s">
        <v>116</v>
      </c>
      <c r="D16" s="47"/>
      <c r="E16" s="47"/>
      <c r="F16" s="48"/>
      <c r="G16" s="52" t="str">
        <f t="shared" si="1"/>
        <v/>
      </c>
      <c r="H16" s="52" t="str">
        <f t="shared" si="2"/>
        <v/>
      </c>
      <c r="I16" s="52" t="str">
        <f t="shared" si="3"/>
        <v/>
      </c>
      <c r="J16" s="53" t="str">
        <f t="shared" si="4"/>
        <v/>
      </c>
      <c r="K16" s="53" t="str">
        <f t="shared" si="5"/>
        <v/>
      </c>
      <c r="L16" s="53" t="str">
        <f t="shared" si="6"/>
        <v/>
      </c>
      <c r="M16" s="21"/>
      <c r="N16" s="21"/>
    </row>
    <row r="17" spans="1:14" ht="15.75" customHeight="1">
      <c r="A17" s="21"/>
      <c r="B17" s="21"/>
      <c r="C17" s="46" t="s">
        <v>117</v>
      </c>
      <c r="D17" s="47"/>
      <c r="E17" s="47"/>
      <c r="F17" s="48"/>
      <c r="G17" s="52" t="str">
        <f t="shared" si="1"/>
        <v/>
      </c>
      <c r="H17" s="52" t="str">
        <f t="shared" si="2"/>
        <v/>
      </c>
      <c r="I17" s="52" t="str">
        <f t="shared" si="3"/>
        <v/>
      </c>
      <c r="J17" s="53" t="str">
        <f t="shared" si="4"/>
        <v/>
      </c>
      <c r="K17" s="53" t="str">
        <f t="shared" si="5"/>
        <v/>
      </c>
      <c r="L17" s="53" t="str">
        <f t="shared" si="6"/>
        <v/>
      </c>
      <c r="M17" s="21"/>
      <c r="N17" s="21"/>
    </row>
    <row r="18" spans="1:14" ht="15.75" customHeight="1">
      <c r="A18" s="21"/>
      <c r="B18" s="21"/>
      <c r="C18" s="46" t="s">
        <v>118</v>
      </c>
      <c r="D18" s="47"/>
      <c r="E18" s="47"/>
      <c r="F18" s="48"/>
      <c r="G18" s="52" t="str">
        <f t="shared" si="1"/>
        <v/>
      </c>
      <c r="H18" s="52" t="str">
        <f t="shared" si="2"/>
        <v/>
      </c>
      <c r="I18" s="52" t="str">
        <f t="shared" si="3"/>
        <v/>
      </c>
      <c r="J18" s="53" t="str">
        <f t="shared" si="4"/>
        <v/>
      </c>
      <c r="K18" s="53" t="str">
        <f t="shared" si="5"/>
        <v/>
      </c>
      <c r="L18" s="53" t="str">
        <f t="shared" si="6"/>
        <v/>
      </c>
      <c r="M18" s="21"/>
      <c r="N18" s="21"/>
    </row>
    <row r="19" spans="1:14" ht="15.75" customHeight="1">
      <c r="A19" s="21"/>
      <c r="B19" s="21"/>
      <c r="C19" s="46" t="s">
        <v>119</v>
      </c>
      <c r="D19" s="47"/>
      <c r="E19" s="47"/>
      <c r="F19" s="48"/>
      <c r="G19" s="52" t="str">
        <f t="shared" si="1"/>
        <v/>
      </c>
      <c r="H19" s="52" t="str">
        <f t="shared" si="2"/>
        <v/>
      </c>
      <c r="I19" s="52" t="str">
        <f t="shared" si="3"/>
        <v/>
      </c>
      <c r="J19" s="53" t="str">
        <f t="shared" si="4"/>
        <v/>
      </c>
      <c r="K19" s="53" t="str">
        <f t="shared" si="5"/>
        <v/>
      </c>
      <c r="L19" s="53" t="str">
        <f t="shared" si="6"/>
        <v/>
      </c>
      <c r="M19" s="21"/>
      <c r="N19" s="21"/>
    </row>
    <row r="20" spans="1:14" ht="15.75" customHeight="1">
      <c r="A20" s="21"/>
      <c r="B20" s="21"/>
      <c r="C20" s="46" t="s">
        <v>120</v>
      </c>
      <c r="D20" s="47"/>
      <c r="E20" s="47"/>
      <c r="F20" s="48"/>
      <c r="G20" s="52" t="str">
        <f t="shared" si="1"/>
        <v/>
      </c>
      <c r="H20" s="52" t="str">
        <f t="shared" si="2"/>
        <v/>
      </c>
      <c r="I20" s="52" t="str">
        <f t="shared" si="3"/>
        <v/>
      </c>
      <c r="J20" s="53" t="str">
        <f t="shared" si="4"/>
        <v/>
      </c>
      <c r="K20" s="53" t="str">
        <f t="shared" si="5"/>
        <v/>
      </c>
      <c r="L20" s="53" t="str">
        <f t="shared" si="6"/>
        <v/>
      </c>
      <c r="M20" s="21"/>
      <c r="N20" s="21"/>
    </row>
    <row r="21" spans="1:14" ht="15.75" customHeight="1">
      <c r="A21" s="21"/>
      <c r="B21" s="21"/>
      <c r="C21" s="46" t="s">
        <v>121</v>
      </c>
      <c r="D21" s="47"/>
      <c r="E21" s="47"/>
      <c r="F21" s="48"/>
      <c r="G21" s="52" t="str">
        <f t="shared" si="1"/>
        <v/>
      </c>
      <c r="H21" s="52" t="str">
        <f t="shared" si="2"/>
        <v/>
      </c>
      <c r="I21" s="52" t="str">
        <f t="shared" si="3"/>
        <v/>
      </c>
      <c r="J21" s="53" t="str">
        <f t="shared" si="4"/>
        <v/>
      </c>
      <c r="K21" s="53" t="str">
        <f t="shared" si="5"/>
        <v/>
      </c>
      <c r="L21" s="53" t="str">
        <f t="shared" si="6"/>
        <v/>
      </c>
      <c r="M21" s="21"/>
      <c r="N21" s="21"/>
    </row>
    <row r="22" spans="1:14" ht="15.75" customHeight="1">
      <c r="A22" s="21"/>
      <c r="B22" s="21"/>
      <c r="C22" s="46" t="s">
        <v>122</v>
      </c>
      <c r="D22" s="47"/>
      <c r="E22" s="47"/>
      <c r="F22" s="48"/>
      <c r="G22" s="52" t="str">
        <f t="shared" si="1"/>
        <v/>
      </c>
      <c r="H22" s="52" t="str">
        <f t="shared" si="2"/>
        <v/>
      </c>
      <c r="I22" s="52" t="str">
        <f t="shared" si="3"/>
        <v/>
      </c>
      <c r="J22" s="53" t="str">
        <f t="shared" si="4"/>
        <v/>
      </c>
      <c r="K22" s="53" t="str">
        <f t="shared" si="5"/>
        <v/>
      </c>
      <c r="L22" s="53" t="str">
        <f t="shared" si="6"/>
        <v/>
      </c>
      <c r="M22" s="21"/>
      <c r="N22" s="21"/>
    </row>
    <row r="23" spans="1:14" ht="15.75" customHeight="1">
      <c r="A23" s="21"/>
      <c r="B23" s="21"/>
      <c r="C23" s="46" t="s">
        <v>123</v>
      </c>
      <c r="D23" s="47"/>
      <c r="E23" s="47"/>
      <c r="F23" s="48"/>
      <c r="G23" s="52" t="str">
        <f t="shared" si="1"/>
        <v/>
      </c>
      <c r="H23" s="52" t="str">
        <f t="shared" si="2"/>
        <v/>
      </c>
      <c r="I23" s="52" t="str">
        <f t="shared" si="3"/>
        <v/>
      </c>
      <c r="J23" s="53" t="str">
        <f t="shared" si="4"/>
        <v/>
      </c>
      <c r="K23" s="53" t="str">
        <f t="shared" si="5"/>
        <v/>
      </c>
      <c r="L23" s="53" t="str">
        <f t="shared" si="6"/>
        <v/>
      </c>
      <c r="M23" s="21"/>
      <c r="N23" s="21"/>
    </row>
    <row r="24" spans="1:14" ht="15.75" customHeight="1">
      <c r="A24" s="21"/>
      <c r="B24" s="21"/>
      <c r="C24" s="46" t="s">
        <v>124</v>
      </c>
      <c r="D24" s="47"/>
      <c r="E24" s="47"/>
      <c r="F24" s="48"/>
      <c r="G24" s="52" t="str">
        <f t="shared" si="1"/>
        <v/>
      </c>
      <c r="H24" s="52" t="str">
        <f t="shared" si="2"/>
        <v/>
      </c>
      <c r="I24" s="52" t="str">
        <f t="shared" si="3"/>
        <v/>
      </c>
      <c r="J24" s="53" t="str">
        <f t="shared" si="4"/>
        <v/>
      </c>
      <c r="K24" s="53" t="str">
        <f t="shared" si="5"/>
        <v/>
      </c>
      <c r="L24" s="53" t="str">
        <f t="shared" si="6"/>
        <v/>
      </c>
      <c r="M24" s="21"/>
      <c r="N24" s="21"/>
    </row>
    <row r="25" spans="1:14" ht="15.75" customHeight="1">
      <c r="A25" s="21"/>
      <c r="B25" s="21"/>
      <c r="C25" s="46" t="s">
        <v>125</v>
      </c>
      <c r="D25" s="47"/>
      <c r="E25" s="47"/>
      <c r="F25" s="48"/>
      <c r="G25" s="52" t="str">
        <f t="shared" si="1"/>
        <v/>
      </c>
      <c r="H25" s="52" t="str">
        <f t="shared" si="2"/>
        <v/>
      </c>
      <c r="I25" s="52" t="str">
        <f t="shared" si="3"/>
        <v/>
      </c>
      <c r="J25" s="53" t="str">
        <f t="shared" si="4"/>
        <v/>
      </c>
      <c r="K25" s="53" t="str">
        <f t="shared" si="5"/>
        <v/>
      </c>
      <c r="L25" s="53" t="str">
        <f t="shared" si="6"/>
        <v/>
      </c>
      <c r="M25" s="21"/>
      <c r="N25" s="21"/>
    </row>
    <row r="26" spans="1:14" ht="15.75" customHeight="1">
      <c r="A26" s="21"/>
      <c r="B26" s="21"/>
      <c r="C26" s="46" t="s">
        <v>126</v>
      </c>
      <c r="D26" s="47"/>
      <c r="E26" s="47"/>
      <c r="F26" s="48"/>
      <c r="G26" s="52" t="str">
        <f t="shared" si="1"/>
        <v/>
      </c>
      <c r="H26" s="52" t="str">
        <f t="shared" si="2"/>
        <v/>
      </c>
      <c r="I26" s="52" t="str">
        <f t="shared" si="3"/>
        <v/>
      </c>
      <c r="J26" s="53" t="str">
        <f t="shared" si="4"/>
        <v/>
      </c>
      <c r="K26" s="53" t="str">
        <f t="shared" si="5"/>
        <v/>
      </c>
      <c r="L26" s="53" t="str">
        <f t="shared" si="6"/>
        <v/>
      </c>
      <c r="M26" s="21"/>
      <c r="N26" s="21"/>
    </row>
    <row r="27" spans="1:14" ht="15.75" customHeight="1">
      <c r="A27" s="21"/>
      <c r="B27" s="21"/>
      <c r="C27" s="46" t="s">
        <v>127</v>
      </c>
      <c r="D27" s="47"/>
      <c r="E27" s="47"/>
      <c r="F27" s="48"/>
      <c r="G27" s="52" t="str">
        <f t="shared" si="1"/>
        <v/>
      </c>
      <c r="H27" s="52" t="str">
        <f t="shared" si="2"/>
        <v/>
      </c>
      <c r="I27" s="52" t="str">
        <f t="shared" si="3"/>
        <v/>
      </c>
      <c r="J27" s="53" t="str">
        <f t="shared" si="4"/>
        <v/>
      </c>
      <c r="K27" s="53" t="str">
        <f t="shared" si="5"/>
        <v/>
      </c>
      <c r="L27" s="53" t="str">
        <f t="shared" si="6"/>
        <v/>
      </c>
      <c r="M27" s="21"/>
      <c r="N27" s="21"/>
    </row>
    <row r="28" spans="1:14" ht="15.75" customHeight="1">
      <c r="A28" s="21"/>
      <c r="B28" s="21"/>
      <c r="C28" s="46" t="s">
        <v>128</v>
      </c>
      <c r="D28" s="47"/>
      <c r="E28" s="47"/>
      <c r="F28" s="48"/>
      <c r="G28" s="52" t="str">
        <f t="shared" si="1"/>
        <v/>
      </c>
      <c r="H28" s="52" t="str">
        <f t="shared" si="2"/>
        <v/>
      </c>
      <c r="I28" s="52" t="str">
        <f t="shared" si="3"/>
        <v/>
      </c>
      <c r="J28" s="53" t="str">
        <f t="shared" si="4"/>
        <v/>
      </c>
      <c r="K28" s="53" t="str">
        <f t="shared" si="5"/>
        <v/>
      </c>
      <c r="L28" s="53" t="str">
        <f t="shared" si="6"/>
        <v/>
      </c>
      <c r="M28" s="21"/>
      <c r="N28" s="21"/>
    </row>
    <row r="29" spans="1:14" ht="15.75" customHeight="1">
      <c r="A29" s="21"/>
      <c r="B29" s="21"/>
      <c r="C29" s="46" t="s">
        <v>129</v>
      </c>
      <c r="D29" s="47"/>
      <c r="E29" s="47"/>
      <c r="F29" s="48"/>
      <c r="G29" s="52" t="str">
        <f t="shared" si="1"/>
        <v/>
      </c>
      <c r="H29" s="52" t="str">
        <f t="shared" si="2"/>
        <v/>
      </c>
      <c r="I29" s="52" t="str">
        <f t="shared" si="3"/>
        <v/>
      </c>
      <c r="J29" s="53" t="str">
        <f t="shared" si="4"/>
        <v/>
      </c>
      <c r="K29" s="53" t="str">
        <f t="shared" si="5"/>
        <v/>
      </c>
      <c r="L29" s="53" t="str">
        <f t="shared" si="6"/>
        <v/>
      </c>
      <c r="M29" s="21"/>
      <c r="N29" s="21"/>
    </row>
    <row r="30" spans="1:14" ht="15.75" customHeight="1">
      <c r="A30" s="21"/>
      <c r="B30" s="21"/>
      <c r="C30" s="46" t="s">
        <v>130</v>
      </c>
      <c r="D30" s="47"/>
      <c r="E30" s="47"/>
      <c r="F30" s="48"/>
      <c r="G30" s="52" t="str">
        <f t="shared" si="1"/>
        <v/>
      </c>
      <c r="H30" s="52" t="str">
        <f t="shared" si="2"/>
        <v/>
      </c>
      <c r="I30" s="52" t="str">
        <f t="shared" si="3"/>
        <v/>
      </c>
      <c r="J30" s="53" t="str">
        <f t="shared" si="4"/>
        <v/>
      </c>
      <c r="K30" s="53" t="str">
        <f t="shared" si="5"/>
        <v/>
      </c>
      <c r="L30" s="53" t="str">
        <f t="shared" si="6"/>
        <v/>
      </c>
      <c r="M30" s="21"/>
      <c r="N30" s="21"/>
    </row>
    <row r="31" spans="1:14" ht="15.75" customHeight="1">
      <c r="A31" s="21"/>
      <c r="B31" s="21"/>
      <c r="C31" s="46" t="s">
        <v>131</v>
      </c>
      <c r="D31" s="47"/>
      <c r="E31" s="47"/>
      <c r="F31" s="48"/>
      <c r="G31" s="52" t="str">
        <f t="shared" si="1"/>
        <v/>
      </c>
      <c r="H31" s="52" t="str">
        <f t="shared" si="2"/>
        <v/>
      </c>
      <c r="I31" s="52" t="str">
        <f t="shared" si="3"/>
        <v/>
      </c>
      <c r="J31" s="53" t="str">
        <f t="shared" si="4"/>
        <v/>
      </c>
      <c r="K31" s="53" t="str">
        <f t="shared" si="5"/>
        <v/>
      </c>
      <c r="L31" s="53" t="str">
        <f t="shared" si="6"/>
        <v/>
      </c>
      <c r="M31" s="21"/>
      <c r="N31" s="21"/>
    </row>
    <row r="32" spans="1:14" ht="15.75" customHeight="1">
      <c r="A32" s="21"/>
      <c r="B32" s="21"/>
      <c r="C32" s="46" t="s">
        <v>132</v>
      </c>
      <c r="D32" s="47"/>
      <c r="E32" s="47"/>
      <c r="F32" s="48"/>
      <c r="G32" s="52" t="str">
        <f t="shared" si="1"/>
        <v/>
      </c>
      <c r="H32" s="52" t="str">
        <f t="shared" si="2"/>
        <v/>
      </c>
      <c r="I32" s="52" t="str">
        <f t="shared" si="3"/>
        <v/>
      </c>
      <c r="J32" s="53" t="str">
        <f t="shared" si="4"/>
        <v/>
      </c>
      <c r="K32" s="53" t="str">
        <f t="shared" si="5"/>
        <v/>
      </c>
      <c r="L32" s="53" t="str">
        <f t="shared" si="6"/>
        <v/>
      </c>
      <c r="M32" s="21"/>
      <c r="N32" s="21"/>
    </row>
    <row r="33" spans="1:27" ht="15.75" customHeight="1">
      <c r="A33" s="21"/>
      <c r="B33" s="21"/>
      <c r="C33" s="46" t="s">
        <v>133</v>
      </c>
      <c r="D33" s="47"/>
      <c r="E33" s="47"/>
      <c r="F33" s="48"/>
      <c r="G33" s="52" t="str">
        <f t="shared" si="1"/>
        <v/>
      </c>
      <c r="H33" s="52" t="str">
        <f t="shared" si="2"/>
        <v/>
      </c>
      <c r="I33" s="52" t="str">
        <f t="shared" si="3"/>
        <v/>
      </c>
      <c r="J33" s="53" t="str">
        <f t="shared" si="4"/>
        <v/>
      </c>
      <c r="K33" s="53" t="str">
        <f t="shared" si="5"/>
        <v/>
      </c>
      <c r="L33" s="53" t="str">
        <f t="shared" si="6"/>
        <v/>
      </c>
      <c r="M33" s="21"/>
      <c r="N33" s="21"/>
    </row>
    <row r="34" spans="1:27" ht="15.75" customHeight="1">
      <c r="A34" s="21"/>
      <c r="B34" s="21"/>
      <c r="C34" s="46" t="s">
        <v>134</v>
      </c>
      <c r="D34" s="47"/>
      <c r="E34" s="47"/>
      <c r="F34" s="48"/>
      <c r="G34" s="52" t="str">
        <f t="shared" si="1"/>
        <v/>
      </c>
      <c r="H34" s="52" t="str">
        <f t="shared" si="2"/>
        <v/>
      </c>
      <c r="I34" s="52" t="str">
        <f t="shared" si="3"/>
        <v/>
      </c>
      <c r="J34" s="53" t="str">
        <f t="shared" si="4"/>
        <v/>
      </c>
      <c r="K34" s="53" t="str">
        <f t="shared" si="5"/>
        <v/>
      </c>
      <c r="L34" s="53" t="str">
        <f t="shared" si="6"/>
        <v/>
      </c>
      <c r="M34" s="21"/>
      <c r="N34" s="147" t="s">
        <v>174</v>
      </c>
      <c r="O34" s="147"/>
      <c r="P34" s="147"/>
      <c r="Q34" s="147"/>
      <c r="R34" s="147"/>
      <c r="S34" s="147"/>
      <c r="T34" s="147"/>
      <c r="U34" s="21"/>
      <c r="V34" s="21"/>
      <c r="W34" s="21"/>
    </row>
    <row r="35" spans="1:27" ht="15.75" customHeight="1">
      <c r="A35" s="21"/>
      <c r="B35" s="21"/>
      <c r="C35" s="46" t="s">
        <v>135</v>
      </c>
      <c r="D35" s="47"/>
      <c r="E35" s="47"/>
      <c r="F35" s="48"/>
      <c r="G35" s="52" t="str">
        <f t="shared" si="1"/>
        <v/>
      </c>
      <c r="H35" s="52" t="str">
        <f t="shared" si="2"/>
        <v/>
      </c>
      <c r="I35" s="52" t="str">
        <f t="shared" si="3"/>
        <v/>
      </c>
      <c r="J35" s="53" t="str">
        <f t="shared" si="4"/>
        <v/>
      </c>
      <c r="K35" s="53" t="str">
        <f t="shared" si="5"/>
        <v/>
      </c>
      <c r="L35" s="53" t="str">
        <f t="shared" si="6"/>
        <v/>
      </c>
      <c r="M35" s="21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</row>
    <row r="36" spans="1:27" ht="15.75" customHeight="1">
      <c r="A36" s="21"/>
      <c r="B36" s="21"/>
      <c r="C36" s="46" t="s">
        <v>136</v>
      </c>
      <c r="D36" s="47"/>
      <c r="E36" s="47"/>
      <c r="F36" s="48"/>
      <c r="G36" s="52" t="str">
        <f t="shared" si="1"/>
        <v/>
      </c>
      <c r="H36" s="52" t="str">
        <f t="shared" si="2"/>
        <v/>
      </c>
      <c r="I36" s="52" t="str">
        <f t="shared" si="3"/>
        <v/>
      </c>
      <c r="J36" s="53" t="str">
        <f t="shared" si="4"/>
        <v/>
      </c>
      <c r="K36" s="53" t="str">
        <f t="shared" si="5"/>
        <v/>
      </c>
      <c r="L36" s="53" t="str">
        <f t="shared" si="6"/>
        <v/>
      </c>
      <c r="M36" s="21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</row>
    <row r="37" spans="1:27" ht="15.75" customHeight="1">
      <c r="A37" s="21"/>
      <c r="B37" s="21"/>
      <c r="C37" s="46" t="s">
        <v>137</v>
      </c>
      <c r="D37" s="47"/>
      <c r="E37" s="47"/>
      <c r="F37" s="48"/>
      <c r="G37" s="52" t="str">
        <f t="shared" si="1"/>
        <v/>
      </c>
      <c r="H37" s="52" t="str">
        <f t="shared" si="2"/>
        <v/>
      </c>
      <c r="I37" s="52" t="str">
        <f t="shared" si="3"/>
        <v/>
      </c>
      <c r="J37" s="53" t="str">
        <f t="shared" si="4"/>
        <v/>
      </c>
      <c r="K37" s="53" t="str">
        <f t="shared" si="5"/>
        <v/>
      </c>
      <c r="L37" s="53" t="str">
        <f t="shared" si="6"/>
        <v/>
      </c>
      <c r="M37" s="21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</row>
    <row r="38" spans="1:27" ht="15.75" customHeight="1">
      <c r="A38" s="21"/>
      <c r="B38" s="21"/>
      <c r="C38" s="46" t="s">
        <v>138</v>
      </c>
      <c r="D38" s="47"/>
      <c r="E38" s="47"/>
      <c r="F38" s="48"/>
      <c r="G38" s="52" t="str">
        <f t="shared" si="1"/>
        <v/>
      </c>
      <c r="H38" s="52" t="str">
        <f t="shared" si="2"/>
        <v/>
      </c>
      <c r="I38" s="52" t="str">
        <f t="shared" si="3"/>
        <v/>
      </c>
      <c r="J38" s="53" t="str">
        <f t="shared" si="4"/>
        <v/>
      </c>
      <c r="K38" s="53" t="str">
        <f t="shared" si="5"/>
        <v/>
      </c>
      <c r="L38" s="53" t="str">
        <f t="shared" si="6"/>
        <v/>
      </c>
      <c r="M38" s="21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</row>
    <row r="39" spans="1:27" ht="15.75" customHeight="1">
      <c r="A39" s="21"/>
      <c r="B39" s="21"/>
      <c r="C39" s="46" t="s">
        <v>139</v>
      </c>
      <c r="D39" s="47"/>
      <c r="E39" s="47"/>
      <c r="F39" s="48"/>
      <c r="G39" s="52" t="str">
        <f t="shared" si="1"/>
        <v/>
      </c>
      <c r="H39" s="52" t="str">
        <f t="shared" si="2"/>
        <v/>
      </c>
      <c r="I39" s="52" t="str">
        <f t="shared" si="3"/>
        <v/>
      </c>
      <c r="J39" s="53" t="str">
        <f t="shared" si="4"/>
        <v/>
      </c>
      <c r="K39" s="53" t="str">
        <f t="shared" si="5"/>
        <v/>
      </c>
      <c r="L39" s="53" t="str">
        <f t="shared" si="6"/>
        <v/>
      </c>
      <c r="M39" s="21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</row>
    <row r="40" spans="1:27" ht="15.75" customHeight="1">
      <c r="A40" s="21"/>
      <c r="B40" s="21"/>
      <c r="C40" s="46" t="s">
        <v>140</v>
      </c>
      <c r="D40" s="47"/>
      <c r="E40" s="47"/>
      <c r="F40" s="48"/>
      <c r="G40" s="52" t="str">
        <f t="shared" si="1"/>
        <v/>
      </c>
      <c r="H40" s="52" t="str">
        <f t="shared" si="2"/>
        <v/>
      </c>
      <c r="I40" s="52" t="str">
        <f t="shared" si="3"/>
        <v/>
      </c>
      <c r="J40" s="53" t="str">
        <f t="shared" si="4"/>
        <v/>
      </c>
      <c r="K40" s="53" t="str">
        <f t="shared" si="5"/>
        <v/>
      </c>
      <c r="L40" s="53" t="str">
        <f t="shared" si="6"/>
        <v/>
      </c>
      <c r="M40" s="21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</row>
    <row r="41" spans="1:27" ht="15.75" customHeight="1">
      <c r="A41" s="21"/>
      <c r="B41" s="21"/>
      <c r="C41" s="46" t="s">
        <v>141</v>
      </c>
      <c r="D41" s="47"/>
      <c r="E41" s="47"/>
      <c r="F41" s="48"/>
      <c r="G41" s="52" t="str">
        <f t="shared" si="1"/>
        <v/>
      </c>
      <c r="H41" s="52" t="str">
        <f t="shared" si="2"/>
        <v/>
      </c>
      <c r="I41" s="52" t="str">
        <f t="shared" si="3"/>
        <v/>
      </c>
      <c r="J41" s="53" t="str">
        <f t="shared" si="4"/>
        <v/>
      </c>
      <c r="K41" s="53" t="str">
        <f t="shared" si="5"/>
        <v/>
      </c>
      <c r="L41" s="53" t="str">
        <f t="shared" si="6"/>
        <v/>
      </c>
      <c r="M41" s="21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</row>
    <row r="42" spans="1:27" ht="15.75" customHeight="1">
      <c r="A42" s="21"/>
      <c r="B42" s="21"/>
      <c r="C42" s="46" t="s">
        <v>142</v>
      </c>
      <c r="D42" s="47"/>
      <c r="E42" s="47"/>
      <c r="F42" s="48"/>
      <c r="G42" s="52" t="str">
        <f t="shared" si="1"/>
        <v/>
      </c>
      <c r="H42" s="52" t="str">
        <f t="shared" si="2"/>
        <v/>
      </c>
      <c r="I42" s="52" t="str">
        <f t="shared" si="3"/>
        <v/>
      </c>
      <c r="J42" s="53" t="str">
        <f t="shared" si="4"/>
        <v/>
      </c>
      <c r="K42" s="53" t="str">
        <f t="shared" si="5"/>
        <v/>
      </c>
      <c r="L42" s="53" t="str">
        <f t="shared" si="6"/>
        <v/>
      </c>
      <c r="M42" s="21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</row>
    <row r="43" spans="1:27" ht="15.75" customHeight="1">
      <c r="A43" s="21"/>
      <c r="B43" s="21"/>
      <c r="C43" s="46" t="s">
        <v>143</v>
      </c>
      <c r="D43" s="47"/>
      <c r="E43" s="47"/>
      <c r="F43" s="48"/>
      <c r="G43" s="52" t="str">
        <f t="shared" si="1"/>
        <v/>
      </c>
      <c r="H43" s="52" t="str">
        <f t="shared" si="2"/>
        <v/>
      </c>
      <c r="I43" s="52" t="str">
        <f t="shared" si="3"/>
        <v/>
      </c>
      <c r="J43" s="53" t="str">
        <f t="shared" si="4"/>
        <v/>
      </c>
      <c r="K43" s="53" t="str">
        <f t="shared" si="5"/>
        <v/>
      </c>
      <c r="L43" s="53" t="str">
        <f t="shared" si="6"/>
        <v/>
      </c>
      <c r="M43" s="21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</row>
    <row r="44" spans="1:27" ht="15.75" customHeight="1">
      <c r="A44" s="21"/>
      <c r="B44" s="21"/>
      <c r="C44" s="46" t="s">
        <v>144</v>
      </c>
      <c r="D44" s="47"/>
      <c r="E44" s="47"/>
      <c r="F44" s="48"/>
      <c r="G44" s="52" t="str">
        <f t="shared" si="1"/>
        <v/>
      </c>
      <c r="H44" s="52" t="str">
        <f t="shared" si="2"/>
        <v/>
      </c>
      <c r="I44" s="52" t="str">
        <f t="shared" si="3"/>
        <v/>
      </c>
      <c r="J44" s="53" t="str">
        <f t="shared" si="4"/>
        <v/>
      </c>
      <c r="K44" s="53" t="str">
        <f t="shared" si="5"/>
        <v/>
      </c>
      <c r="L44" s="53" t="str">
        <f t="shared" si="6"/>
        <v/>
      </c>
      <c r="M44" s="21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</row>
    <row r="45" spans="1:27" ht="15.75" customHeight="1">
      <c r="A45" s="21"/>
      <c r="B45" s="21"/>
      <c r="C45" s="46" t="s">
        <v>145</v>
      </c>
      <c r="D45" s="47"/>
      <c r="E45" s="47"/>
      <c r="F45" s="48"/>
      <c r="G45" s="52" t="str">
        <f t="shared" si="1"/>
        <v/>
      </c>
      <c r="H45" s="52" t="str">
        <f t="shared" si="2"/>
        <v/>
      </c>
      <c r="I45" s="52" t="str">
        <f t="shared" si="3"/>
        <v/>
      </c>
      <c r="J45" s="53" t="str">
        <f t="shared" si="4"/>
        <v/>
      </c>
      <c r="K45" s="53" t="str">
        <f t="shared" si="5"/>
        <v/>
      </c>
      <c r="L45" s="53" t="str">
        <f t="shared" si="6"/>
        <v/>
      </c>
      <c r="M45" s="21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</row>
    <row r="46" spans="1:27" ht="15.75" customHeight="1">
      <c r="A46" s="21"/>
      <c r="B46" s="21"/>
      <c r="C46" s="46" t="s">
        <v>146</v>
      </c>
      <c r="D46" s="47"/>
      <c r="E46" s="47"/>
      <c r="F46" s="48"/>
      <c r="G46" s="52" t="str">
        <f t="shared" si="1"/>
        <v/>
      </c>
      <c r="H46" s="52" t="str">
        <f t="shared" si="2"/>
        <v/>
      </c>
      <c r="I46" s="52" t="str">
        <f t="shared" si="3"/>
        <v/>
      </c>
      <c r="J46" s="53" t="str">
        <f t="shared" si="4"/>
        <v/>
      </c>
      <c r="K46" s="53" t="str">
        <f t="shared" si="5"/>
        <v/>
      </c>
      <c r="L46" s="53" t="str">
        <f t="shared" si="6"/>
        <v/>
      </c>
      <c r="M46" s="21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</row>
    <row r="47" spans="1:27" ht="15.75" customHeight="1">
      <c r="A47" s="21"/>
      <c r="B47" s="21"/>
      <c r="C47" s="46" t="s">
        <v>147</v>
      </c>
      <c r="D47" s="47"/>
      <c r="E47" s="47"/>
      <c r="F47" s="48"/>
      <c r="G47" s="52" t="str">
        <f t="shared" ref="G47:G73" si="7">IFERROR(D47/D46-1,"")</f>
        <v/>
      </c>
      <c r="H47" s="52" t="str">
        <f t="shared" ref="H47:H73" si="8">IFERROR(E47/E46-1,"")</f>
        <v/>
      </c>
      <c r="I47" s="52" t="str">
        <f t="shared" ref="I47:I73" si="9">IFERROR(F47/F46-1,"")</f>
        <v/>
      </c>
      <c r="J47" s="53" t="str">
        <f t="shared" ref="J47:J73" si="10">IFERROR(J46*(1+G47),"")</f>
        <v/>
      </c>
      <c r="K47" s="53" t="str">
        <f t="shared" ref="K47:K73" si="11">IFERROR(K46*(1+H47),"")</f>
        <v/>
      </c>
      <c r="L47" s="53" t="str">
        <f t="shared" ref="L47:L73" si="12">IFERROR(L46*(1+I47),"")</f>
        <v/>
      </c>
      <c r="M47" s="21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</row>
    <row r="48" spans="1:27" ht="15.75" customHeight="1">
      <c r="A48" s="21"/>
      <c r="B48" s="21"/>
      <c r="C48" s="46" t="s">
        <v>148</v>
      </c>
      <c r="D48" s="47"/>
      <c r="E48" s="47"/>
      <c r="F48" s="48"/>
      <c r="G48" s="52" t="str">
        <f t="shared" si="7"/>
        <v/>
      </c>
      <c r="H48" s="52" t="str">
        <f t="shared" si="8"/>
        <v/>
      </c>
      <c r="I48" s="52" t="str">
        <f t="shared" si="9"/>
        <v/>
      </c>
      <c r="J48" s="53" t="str">
        <f t="shared" si="10"/>
        <v/>
      </c>
      <c r="K48" s="53" t="str">
        <f t="shared" si="11"/>
        <v/>
      </c>
      <c r="L48" s="53" t="str">
        <f t="shared" si="12"/>
        <v/>
      </c>
      <c r="M48" s="21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</row>
    <row r="49" spans="1:27" ht="15.75" customHeight="1">
      <c r="A49" s="21"/>
      <c r="B49" s="21"/>
      <c r="C49" s="46" t="s">
        <v>149</v>
      </c>
      <c r="D49" s="47"/>
      <c r="E49" s="47"/>
      <c r="F49" s="48"/>
      <c r="G49" s="52" t="str">
        <f t="shared" si="7"/>
        <v/>
      </c>
      <c r="H49" s="52" t="str">
        <f t="shared" si="8"/>
        <v/>
      </c>
      <c r="I49" s="52" t="str">
        <f t="shared" si="9"/>
        <v/>
      </c>
      <c r="J49" s="53" t="str">
        <f t="shared" si="10"/>
        <v/>
      </c>
      <c r="K49" s="53" t="str">
        <f t="shared" si="11"/>
        <v/>
      </c>
      <c r="L49" s="53" t="str">
        <f t="shared" si="12"/>
        <v/>
      </c>
      <c r="M49" s="21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</row>
    <row r="50" spans="1:27" ht="15.75" customHeight="1">
      <c r="A50" s="21"/>
      <c r="B50" s="21"/>
      <c r="C50" s="46" t="s">
        <v>150</v>
      </c>
      <c r="D50" s="47"/>
      <c r="E50" s="47"/>
      <c r="F50" s="48"/>
      <c r="G50" s="52" t="str">
        <f t="shared" si="7"/>
        <v/>
      </c>
      <c r="H50" s="52" t="str">
        <f t="shared" si="8"/>
        <v/>
      </c>
      <c r="I50" s="52" t="str">
        <f t="shared" si="9"/>
        <v/>
      </c>
      <c r="J50" s="53" t="str">
        <f t="shared" si="10"/>
        <v/>
      </c>
      <c r="K50" s="53" t="str">
        <f t="shared" si="11"/>
        <v/>
      </c>
      <c r="L50" s="53" t="str">
        <f t="shared" si="12"/>
        <v/>
      </c>
      <c r="M50" s="21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</row>
    <row r="51" spans="1:27" ht="15.75" customHeight="1">
      <c r="A51" s="21"/>
      <c r="B51" s="21"/>
      <c r="C51" s="46" t="s">
        <v>151</v>
      </c>
      <c r="D51" s="47"/>
      <c r="E51" s="47"/>
      <c r="F51" s="48"/>
      <c r="G51" s="52" t="str">
        <f t="shared" si="7"/>
        <v/>
      </c>
      <c r="H51" s="52" t="str">
        <f t="shared" si="8"/>
        <v/>
      </c>
      <c r="I51" s="52" t="str">
        <f t="shared" si="9"/>
        <v/>
      </c>
      <c r="J51" s="53" t="str">
        <f t="shared" si="10"/>
        <v/>
      </c>
      <c r="K51" s="53" t="str">
        <f t="shared" si="11"/>
        <v/>
      </c>
      <c r="L51" s="53" t="str">
        <f t="shared" si="12"/>
        <v/>
      </c>
      <c r="M51" s="21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</row>
    <row r="52" spans="1:27" ht="15.75" customHeight="1">
      <c r="A52" s="21"/>
      <c r="B52" s="21"/>
      <c r="C52" s="46" t="s">
        <v>152</v>
      </c>
      <c r="D52" s="47"/>
      <c r="E52" s="47"/>
      <c r="F52" s="48"/>
      <c r="G52" s="52" t="str">
        <f t="shared" si="7"/>
        <v/>
      </c>
      <c r="H52" s="52" t="str">
        <f t="shared" si="8"/>
        <v/>
      </c>
      <c r="I52" s="52" t="str">
        <f t="shared" si="9"/>
        <v/>
      </c>
      <c r="J52" s="53" t="str">
        <f t="shared" si="10"/>
        <v/>
      </c>
      <c r="K52" s="53" t="str">
        <f t="shared" si="11"/>
        <v/>
      </c>
      <c r="L52" s="53" t="str">
        <f t="shared" si="12"/>
        <v/>
      </c>
      <c r="M52" s="21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</row>
    <row r="53" spans="1:27" ht="15.75" customHeight="1">
      <c r="A53" s="21"/>
      <c r="B53" s="21"/>
      <c r="C53" s="46" t="s">
        <v>153</v>
      </c>
      <c r="D53" s="47"/>
      <c r="E53" s="47"/>
      <c r="F53" s="48"/>
      <c r="G53" s="52" t="str">
        <f t="shared" si="7"/>
        <v/>
      </c>
      <c r="H53" s="52" t="str">
        <f t="shared" si="8"/>
        <v/>
      </c>
      <c r="I53" s="52" t="str">
        <f t="shared" si="9"/>
        <v/>
      </c>
      <c r="J53" s="53" t="str">
        <f t="shared" si="10"/>
        <v/>
      </c>
      <c r="K53" s="53" t="str">
        <f t="shared" si="11"/>
        <v/>
      </c>
      <c r="L53" s="53" t="str">
        <f t="shared" si="12"/>
        <v/>
      </c>
      <c r="M53" s="21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</row>
    <row r="54" spans="1:27" ht="15.75" customHeight="1">
      <c r="A54" s="21"/>
      <c r="B54" s="21"/>
      <c r="C54" s="46" t="s">
        <v>154</v>
      </c>
      <c r="D54" s="47"/>
      <c r="E54" s="47"/>
      <c r="F54" s="48"/>
      <c r="G54" s="52" t="str">
        <f t="shared" si="7"/>
        <v/>
      </c>
      <c r="H54" s="52" t="str">
        <f t="shared" si="8"/>
        <v/>
      </c>
      <c r="I54" s="52" t="str">
        <f t="shared" si="9"/>
        <v/>
      </c>
      <c r="J54" s="53" t="str">
        <f t="shared" si="10"/>
        <v/>
      </c>
      <c r="K54" s="53" t="str">
        <f t="shared" si="11"/>
        <v/>
      </c>
      <c r="L54" s="53" t="str">
        <f t="shared" si="12"/>
        <v/>
      </c>
      <c r="M54" s="21"/>
      <c r="N54" s="21"/>
    </row>
    <row r="55" spans="1:27" ht="15.75" customHeight="1">
      <c r="A55" s="21"/>
      <c r="B55" s="21"/>
      <c r="C55" s="46" t="s">
        <v>155</v>
      </c>
      <c r="D55" s="47"/>
      <c r="E55" s="47"/>
      <c r="F55" s="48"/>
      <c r="G55" s="52" t="str">
        <f t="shared" si="7"/>
        <v/>
      </c>
      <c r="H55" s="52" t="str">
        <f t="shared" si="8"/>
        <v/>
      </c>
      <c r="I55" s="52" t="str">
        <f t="shared" si="9"/>
        <v/>
      </c>
      <c r="J55" s="53" t="str">
        <f t="shared" si="10"/>
        <v/>
      </c>
      <c r="K55" s="53" t="str">
        <f t="shared" si="11"/>
        <v/>
      </c>
      <c r="L55" s="53" t="str">
        <f t="shared" si="12"/>
        <v/>
      </c>
      <c r="M55" s="21"/>
      <c r="N55" s="21"/>
    </row>
    <row r="56" spans="1:27" ht="15.75" customHeight="1">
      <c r="A56" s="21"/>
      <c r="B56" s="21"/>
      <c r="C56" s="46" t="s">
        <v>156</v>
      </c>
      <c r="D56" s="47"/>
      <c r="E56" s="47"/>
      <c r="F56" s="48"/>
      <c r="G56" s="52" t="str">
        <f t="shared" si="7"/>
        <v/>
      </c>
      <c r="H56" s="52" t="str">
        <f t="shared" si="8"/>
        <v/>
      </c>
      <c r="I56" s="52" t="str">
        <f t="shared" si="9"/>
        <v/>
      </c>
      <c r="J56" s="53" t="str">
        <f t="shared" si="10"/>
        <v/>
      </c>
      <c r="K56" s="53" t="str">
        <f t="shared" si="11"/>
        <v/>
      </c>
      <c r="L56" s="53" t="str">
        <f t="shared" si="12"/>
        <v/>
      </c>
      <c r="M56" s="21"/>
      <c r="N56" s="21"/>
    </row>
    <row r="57" spans="1:27" ht="15.75" customHeight="1">
      <c r="A57" s="21"/>
      <c r="B57" s="21"/>
      <c r="C57" s="46" t="s">
        <v>157</v>
      </c>
      <c r="D57" s="47"/>
      <c r="E57" s="47"/>
      <c r="F57" s="48"/>
      <c r="G57" s="52" t="str">
        <f t="shared" si="7"/>
        <v/>
      </c>
      <c r="H57" s="52" t="str">
        <f t="shared" si="8"/>
        <v/>
      </c>
      <c r="I57" s="52" t="str">
        <f t="shared" si="9"/>
        <v/>
      </c>
      <c r="J57" s="53" t="str">
        <f t="shared" si="10"/>
        <v/>
      </c>
      <c r="K57" s="53" t="str">
        <f t="shared" si="11"/>
        <v/>
      </c>
      <c r="L57" s="53" t="str">
        <f t="shared" si="12"/>
        <v/>
      </c>
      <c r="M57" s="21"/>
      <c r="N57" s="21"/>
    </row>
    <row r="58" spans="1:27" ht="15.75" customHeight="1">
      <c r="A58" s="21"/>
      <c r="B58" s="21"/>
      <c r="C58" s="46" t="s">
        <v>158</v>
      </c>
      <c r="D58" s="47"/>
      <c r="E58" s="47"/>
      <c r="F58" s="48"/>
      <c r="G58" s="52" t="str">
        <f t="shared" si="7"/>
        <v/>
      </c>
      <c r="H58" s="52" t="str">
        <f t="shared" si="8"/>
        <v/>
      </c>
      <c r="I58" s="52" t="str">
        <f t="shared" si="9"/>
        <v/>
      </c>
      <c r="J58" s="53" t="str">
        <f t="shared" si="10"/>
        <v/>
      </c>
      <c r="K58" s="53" t="str">
        <f t="shared" si="11"/>
        <v/>
      </c>
      <c r="L58" s="53" t="str">
        <f t="shared" si="12"/>
        <v/>
      </c>
      <c r="M58" s="21"/>
      <c r="N58" s="21"/>
    </row>
    <row r="59" spans="1:27" ht="15.75" customHeight="1">
      <c r="A59" s="21"/>
      <c r="B59" s="21"/>
      <c r="C59" s="46" t="s">
        <v>159</v>
      </c>
      <c r="D59" s="47"/>
      <c r="E59" s="47"/>
      <c r="F59" s="48"/>
      <c r="G59" s="52" t="str">
        <f t="shared" si="7"/>
        <v/>
      </c>
      <c r="H59" s="52" t="str">
        <f t="shared" si="8"/>
        <v/>
      </c>
      <c r="I59" s="52" t="str">
        <f t="shared" si="9"/>
        <v/>
      </c>
      <c r="J59" s="53" t="str">
        <f t="shared" si="10"/>
        <v/>
      </c>
      <c r="K59" s="53" t="str">
        <f t="shared" si="11"/>
        <v/>
      </c>
      <c r="L59" s="53" t="str">
        <f t="shared" si="12"/>
        <v/>
      </c>
      <c r="M59" s="21"/>
      <c r="N59" s="21"/>
    </row>
    <row r="60" spans="1:27" ht="15.75" customHeight="1">
      <c r="A60" s="21"/>
      <c r="B60" s="21"/>
      <c r="C60" s="46" t="s">
        <v>160</v>
      </c>
      <c r="D60" s="47"/>
      <c r="E60" s="47"/>
      <c r="F60" s="48"/>
      <c r="G60" s="52" t="str">
        <f t="shared" si="7"/>
        <v/>
      </c>
      <c r="H60" s="52" t="str">
        <f t="shared" si="8"/>
        <v/>
      </c>
      <c r="I60" s="52" t="str">
        <f t="shared" si="9"/>
        <v/>
      </c>
      <c r="J60" s="53" t="str">
        <f t="shared" si="10"/>
        <v/>
      </c>
      <c r="K60" s="53" t="str">
        <f t="shared" si="11"/>
        <v/>
      </c>
      <c r="L60" s="53" t="str">
        <f t="shared" si="12"/>
        <v/>
      </c>
      <c r="M60" s="21"/>
      <c r="N60" s="21"/>
    </row>
    <row r="61" spans="1:27" ht="15.75" customHeight="1">
      <c r="A61" s="21"/>
      <c r="B61" s="21"/>
      <c r="C61" s="46" t="s">
        <v>161</v>
      </c>
      <c r="D61" s="47"/>
      <c r="E61" s="47"/>
      <c r="F61" s="48"/>
      <c r="G61" s="52" t="str">
        <f t="shared" si="7"/>
        <v/>
      </c>
      <c r="H61" s="52" t="str">
        <f t="shared" si="8"/>
        <v/>
      </c>
      <c r="I61" s="52" t="str">
        <f t="shared" si="9"/>
        <v/>
      </c>
      <c r="J61" s="53" t="str">
        <f t="shared" si="10"/>
        <v/>
      </c>
      <c r="K61" s="53" t="str">
        <f t="shared" si="11"/>
        <v/>
      </c>
      <c r="L61" s="53" t="str">
        <f t="shared" si="12"/>
        <v/>
      </c>
      <c r="M61" s="21"/>
      <c r="N61" s="21"/>
    </row>
    <row r="62" spans="1:27" ht="15.75" customHeight="1">
      <c r="A62" s="21"/>
      <c r="B62" s="21"/>
      <c r="C62" s="46" t="s">
        <v>162</v>
      </c>
      <c r="D62" s="47"/>
      <c r="E62" s="47"/>
      <c r="F62" s="48"/>
      <c r="G62" s="52" t="str">
        <f t="shared" si="7"/>
        <v/>
      </c>
      <c r="H62" s="52" t="str">
        <f t="shared" si="8"/>
        <v/>
      </c>
      <c r="I62" s="52" t="str">
        <f t="shared" si="9"/>
        <v/>
      </c>
      <c r="J62" s="53" t="str">
        <f t="shared" si="10"/>
        <v/>
      </c>
      <c r="K62" s="53" t="str">
        <f t="shared" si="11"/>
        <v/>
      </c>
      <c r="L62" s="53" t="str">
        <f t="shared" si="12"/>
        <v/>
      </c>
      <c r="M62" s="21"/>
      <c r="N62" s="21"/>
    </row>
    <row r="63" spans="1:27" ht="15.75" customHeight="1">
      <c r="A63" s="21"/>
      <c r="B63" s="21"/>
      <c r="C63" s="46" t="s">
        <v>163</v>
      </c>
      <c r="D63" s="47"/>
      <c r="E63" s="47"/>
      <c r="F63" s="48"/>
      <c r="G63" s="52" t="str">
        <f t="shared" si="7"/>
        <v/>
      </c>
      <c r="H63" s="52" t="str">
        <f t="shared" si="8"/>
        <v/>
      </c>
      <c r="I63" s="52" t="str">
        <f t="shared" si="9"/>
        <v/>
      </c>
      <c r="J63" s="53" t="str">
        <f t="shared" si="10"/>
        <v/>
      </c>
      <c r="K63" s="53" t="str">
        <f t="shared" si="11"/>
        <v/>
      </c>
      <c r="L63" s="53" t="str">
        <f t="shared" si="12"/>
        <v/>
      </c>
      <c r="M63" s="21"/>
      <c r="N63" s="21"/>
    </row>
    <row r="64" spans="1:27" ht="15.75" customHeight="1">
      <c r="A64" s="21"/>
      <c r="B64" s="21"/>
      <c r="C64" s="46" t="s">
        <v>164</v>
      </c>
      <c r="D64" s="47"/>
      <c r="E64" s="47"/>
      <c r="F64" s="48"/>
      <c r="G64" s="52" t="str">
        <f t="shared" si="7"/>
        <v/>
      </c>
      <c r="H64" s="52" t="str">
        <f t="shared" si="8"/>
        <v/>
      </c>
      <c r="I64" s="52" t="str">
        <f t="shared" si="9"/>
        <v/>
      </c>
      <c r="J64" s="53" t="str">
        <f t="shared" si="10"/>
        <v/>
      </c>
      <c r="K64" s="53" t="str">
        <f t="shared" si="11"/>
        <v/>
      </c>
      <c r="L64" s="53" t="str">
        <f t="shared" si="12"/>
        <v/>
      </c>
      <c r="M64" s="21"/>
      <c r="N64" s="21"/>
    </row>
    <row r="65" spans="1:14" ht="15.75" customHeight="1">
      <c r="A65" s="21"/>
      <c r="B65" s="21"/>
      <c r="C65" s="46" t="s">
        <v>165</v>
      </c>
      <c r="D65" s="47"/>
      <c r="E65" s="47"/>
      <c r="F65" s="48"/>
      <c r="G65" s="52" t="str">
        <f t="shared" si="7"/>
        <v/>
      </c>
      <c r="H65" s="52" t="str">
        <f t="shared" si="8"/>
        <v/>
      </c>
      <c r="I65" s="52" t="str">
        <f t="shared" si="9"/>
        <v/>
      </c>
      <c r="J65" s="53" t="str">
        <f t="shared" si="10"/>
        <v/>
      </c>
      <c r="K65" s="53" t="str">
        <f t="shared" si="11"/>
        <v/>
      </c>
      <c r="L65" s="53" t="str">
        <f t="shared" si="12"/>
        <v/>
      </c>
      <c r="M65" s="21"/>
      <c r="N65" s="21"/>
    </row>
    <row r="66" spans="1:14" ht="15.75" customHeight="1">
      <c r="A66" s="21"/>
      <c r="B66" s="21"/>
      <c r="C66" s="46" t="s">
        <v>166</v>
      </c>
      <c r="D66" s="47"/>
      <c r="E66" s="47"/>
      <c r="F66" s="48"/>
      <c r="G66" s="52" t="str">
        <f t="shared" si="7"/>
        <v/>
      </c>
      <c r="H66" s="52" t="str">
        <f t="shared" si="8"/>
        <v/>
      </c>
      <c r="I66" s="52" t="str">
        <f t="shared" si="9"/>
        <v/>
      </c>
      <c r="J66" s="53" t="str">
        <f t="shared" si="10"/>
        <v/>
      </c>
      <c r="K66" s="53" t="str">
        <f t="shared" si="11"/>
        <v/>
      </c>
      <c r="L66" s="53" t="str">
        <f t="shared" si="12"/>
        <v/>
      </c>
      <c r="M66" s="21"/>
      <c r="N66" s="21"/>
    </row>
    <row r="67" spans="1:14" ht="15.75" customHeight="1">
      <c r="A67" s="21"/>
      <c r="B67" s="21"/>
      <c r="C67" s="46" t="s">
        <v>167</v>
      </c>
      <c r="D67" s="47"/>
      <c r="E67" s="47"/>
      <c r="F67" s="48"/>
      <c r="G67" s="52" t="str">
        <f t="shared" si="7"/>
        <v/>
      </c>
      <c r="H67" s="52" t="str">
        <f t="shared" si="8"/>
        <v/>
      </c>
      <c r="I67" s="52" t="str">
        <f t="shared" si="9"/>
        <v/>
      </c>
      <c r="J67" s="53" t="str">
        <f t="shared" si="10"/>
        <v/>
      </c>
      <c r="K67" s="53" t="str">
        <f t="shared" si="11"/>
        <v/>
      </c>
      <c r="L67" s="53" t="str">
        <f t="shared" si="12"/>
        <v/>
      </c>
      <c r="M67" s="21"/>
      <c r="N67" s="21"/>
    </row>
    <row r="68" spans="1:14" ht="15.75" customHeight="1">
      <c r="A68" s="21"/>
      <c r="B68" s="21"/>
      <c r="C68" s="46" t="s">
        <v>168</v>
      </c>
      <c r="D68" s="47"/>
      <c r="E68" s="47"/>
      <c r="F68" s="48"/>
      <c r="G68" s="52" t="str">
        <f t="shared" si="7"/>
        <v/>
      </c>
      <c r="H68" s="52" t="str">
        <f t="shared" si="8"/>
        <v/>
      </c>
      <c r="I68" s="52" t="str">
        <f t="shared" si="9"/>
        <v/>
      </c>
      <c r="J68" s="53" t="str">
        <f t="shared" si="10"/>
        <v/>
      </c>
      <c r="K68" s="53" t="str">
        <f t="shared" si="11"/>
        <v/>
      </c>
      <c r="L68" s="53" t="str">
        <f t="shared" si="12"/>
        <v/>
      </c>
      <c r="M68" s="21"/>
      <c r="N68" s="21"/>
    </row>
    <row r="69" spans="1:14" ht="15.75" customHeight="1">
      <c r="A69" s="21"/>
      <c r="B69" s="21"/>
      <c r="C69" s="46" t="s">
        <v>169</v>
      </c>
      <c r="D69" s="47"/>
      <c r="E69" s="47"/>
      <c r="F69" s="48"/>
      <c r="G69" s="52" t="str">
        <f t="shared" si="7"/>
        <v/>
      </c>
      <c r="H69" s="52" t="str">
        <f t="shared" si="8"/>
        <v/>
      </c>
      <c r="I69" s="52" t="str">
        <f t="shared" si="9"/>
        <v/>
      </c>
      <c r="J69" s="53" t="str">
        <f t="shared" si="10"/>
        <v/>
      </c>
      <c r="K69" s="53" t="str">
        <f t="shared" si="11"/>
        <v/>
      </c>
      <c r="L69" s="53" t="str">
        <f t="shared" si="12"/>
        <v/>
      </c>
      <c r="M69" s="21"/>
      <c r="N69" s="21"/>
    </row>
    <row r="70" spans="1:14" ht="15.75" customHeight="1">
      <c r="A70" s="21"/>
      <c r="B70" s="21"/>
      <c r="C70" s="46" t="s">
        <v>170</v>
      </c>
      <c r="D70" s="47"/>
      <c r="E70" s="47"/>
      <c r="F70" s="48"/>
      <c r="G70" s="52" t="str">
        <f t="shared" si="7"/>
        <v/>
      </c>
      <c r="H70" s="52" t="str">
        <f t="shared" si="8"/>
        <v/>
      </c>
      <c r="I70" s="52" t="str">
        <f t="shared" si="9"/>
        <v/>
      </c>
      <c r="J70" s="53" t="str">
        <f t="shared" si="10"/>
        <v/>
      </c>
      <c r="K70" s="53" t="str">
        <f t="shared" si="11"/>
        <v/>
      </c>
      <c r="L70" s="53" t="str">
        <f t="shared" si="12"/>
        <v/>
      </c>
      <c r="M70" s="21"/>
      <c r="N70" s="21"/>
    </row>
    <row r="71" spans="1:14" ht="15.75" customHeight="1">
      <c r="A71" s="21"/>
      <c r="B71" s="21"/>
      <c r="C71" s="46" t="s">
        <v>171</v>
      </c>
      <c r="D71" s="47"/>
      <c r="E71" s="47"/>
      <c r="F71" s="48"/>
      <c r="G71" s="52" t="str">
        <f t="shared" si="7"/>
        <v/>
      </c>
      <c r="H71" s="52" t="str">
        <f t="shared" si="8"/>
        <v/>
      </c>
      <c r="I71" s="52" t="str">
        <f t="shared" si="9"/>
        <v/>
      </c>
      <c r="J71" s="53" t="str">
        <f t="shared" si="10"/>
        <v/>
      </c>
      <c r="K71" s="53" t="str">
        <f t="shared" si="11"/>
        <v/>
      </c>
      <c r="L71" s="53" t="str">
        <f t="shared" si="12"/>
        <v/>
      </c>
      <c r="M71" s="21"/>
      <c r="N71" s="21"/>
    </row>
    <row r="72" spans="1:14" ht="15.75" customHeight="1">
      <c r="A72" s="21"/>
      <c r="B72" s="21"/>
      <c r="C72" s="46" t="s">
        <v>172</v>
      </c>
      <c r="D72" s="47"/>
      <c r="E72" s="47"/>
      <c r="F72" s="48"/>
      <c r="G72" s="52" t="str">
        <f t="shared" si="7"/>
        <v/>
      </c>
      <c r="H72" s="52" t="str">
        <f t="shared" si="8"/>
        <v/>
      </c>
      <c r="I72" s="52" t="str">
        <f t="shared" si="9"/>
        <v/>
      </c>
      <c r="J72" s="53" t="str">
        <f t="shared" si="10"/>
        <v/>
      </c>
      <c r="K72" s="53" t="str">
        <f t="shared" si="11"/>
        <v/>
      </c>
      <c r="L72" s="53" t="str">
        <f t="shared" si="12"/>
        <v/>
      </c>
      <c r="M72" s="21"/>
      <c r="N72" s="21"/>
    </row>
    <row r="73" spans="1:14" ht="15.75" customHeight="1">
      <c r="A73" s="21"/>
      <c r="B73" s="21"/>
      <c r="C73" s="46" t="s">
        <v>173</v>
      </c>
      <c r="D73" s="47"/>
      <c r="E73" s="47"/>
      <c r="F73" s="48"/>
      <c r="G73" s="52" t="str">
        <f t="shared" si="7"/>
        <v/>
      </c>
      <c r="H73" s="52" t="str">
        <f t="shared" si="8"/>
        <v/>
      </c>
      <c r="I73" s="52" t="str">
        <f t="shared" si="9"/>
        <v/>
      </c>
      <c r="J73" s="53" t="str">
        <f t="shared" si="10"/>
        <v/>
      </c>
      <c r="K73" s="53" t="str">
        <f t="shared" si="11"/>
        <v/>
      </c>
      <c r="L73" s="53" t="str">
        <f t="shared" si="12"/>
        <v/>
      </c>
      <c r="M73" s="21"/>
      <c r="N73" s="21"/>
    </row>
    <row r="74" spans="1:14" ht="1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4" ht="1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 spans="1:14" ht="18.75" customHeight="1">
      <c r="A76" s="21"/>
      <c r="B76" s="21"/>
      <c r="M76" s="21"/>
      <c r="N76" s="21"/>
    </row>
    <row r="77" spans="1:14" ht="15" customHeight="1">
      <c r="A77" s="21"/>
      <c r="B77" s="21"/>
      <c r="M77" s="21"/>
      <c r="N77" s="21"/>
    </row>
    <row r="78" spans="1:14" ht="15" customHeight="1">
      <c r="A78" s="21"/>
      <c r="B78" s="21"/>
      <c r="M78" s="21"/>
      <c r="N78" s="21"/>
    </row>
    <row r="79" spans="1:14" ht="15" customHeight="1">
      <c r="A79" s="21"/>
      <c r="B79" s="21"/>
      <c r="M79" s="21"/>
      <c r="N79" s="21"/>
    </row>
    <row r="80" spans="1:14" ht="15" customHeight="1">
      <c r="A80" s="21"/>
      <c r="B80" s="21"/>
      <c r="M80" s="21"/>
      <c r="N80" s="21"/>
    </row>
    <row r="81" spans="1:14" ht="15" customHeight="1">
      <c r="A81" s="21"/>
      <c r="B81" s="21"/>
      <c r="M81" s="21"/>
      <c r="N81" s="21"/>
    </row>
    <row r="82" spans="1:14" ht="162.75" customHeight="1">
      <c r="A82" s="21"/>
      <c r="B82" s="21"/>
      <c r="M82" s="21"/>
      <c r="N82" s="21"/>
    </row>
  </sheetData>
  <mergeCells count="10">
    <mergeCell ref="B1:L1"/>
    <mergeCell ref="B2:L2"/>
    <mergeCell ref="C4:F4"/>
    <mergeCell ref="C9:I9"/>
    <mergeCell ref="C12:F12"/>
    <mergeCell ref="N13:W13"/>
    <mergeCell ref="N14:Y14"/>
    <mergeCell ref="N15:X15"/>
    <mergeCell ref="N34:T34"/>
    <mergeCell ref="N35:AA53"/>
  </mergeCells>
  <phoneticPr fontId="63" type="noConversion"/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F25"/>
  <sheetViews>
    <sheetView showGridLines="0" zoomScaleNormal="100" workbookViewId="0">
      <selection activeCell="G10" sqref="G10"/>
    </sheetView>
  </sheetViews>
  <sheetFormatPr defaultColWidth="8.73046875" defaultRowHeight="14.25"/>
  <cols>
    <col min="2" max="2" width="3" customWidth="1"/>
    <col min="3" max="3" width="24" customWidth="1"/>
    <col min="4" max="4" width="46" customWidth="1"/>
    <col min="5" max="5" width="43" customWidth="1"/>
  </cols>
  <sheetData>
    <row r="1" spans="1:6" ht="25.5" customHeight="1">
      <c r="A1" s="21"/>
      <c r="B1" s="144" t="s">
        <v>175</v>
      </c>
      <c r="C1" s="144"/>
      <c r="D1" s="144"/>
      <c r="E1" s="144"/>
      <c r="F1" s="144"/>
    </row>
    <row r="2" spans="1:6" ht="15.75" customHeight="1">
      <c r="A2" s="21"/>
      <c r="B2" s="146" t="s">
        <v>176</v>
      </c>
      <c r="C2" s="146"/>
      <c r="D2" s="146"/>
      <c r="E2" s="21"/>
    </row>
    <row r="3" spans="1:6" ht="15" customHeight="1">
      <c r="A3" s="21"/>
      <c r="B3" s="21"/>
      <c r="C3" s="21"/>
      <c r="D3" s="21"/>
      <c r="E3" s="21"/>
    </row>
    <row r="4" spans="1:6" ht="16.5" customHeight="1">
      <c r="A4" s="21"/>
      <c r="B4" s="21"/>
      <c r="C4" s="22" t="s">
        <v>177</v>
      </c>
      <c r="D4" s="22" t="s">
        <v>178</v>
      </c>
      <c r="E4" s="22" t="s">
        <v>179</v>
      </c>
    </row>
    <row r="5" spans="1:6" ht="27.75" customHeight="1">
      <c r="A5" s="21"/>
      <c r="B5" s="21"/>
      <c r="C5" s="37" t="s">
        <v>180</v>
      </c>
      <c r="D5" s="54"/>
      <c r="E5" s="54"/>
    </row>
    <row r="6" spans="1:6" ht="66.75" customHeight="1">
      <c r="A6" s="21"/>
      <c r="B6" s="21"/>
      <c r="C6" s="37" t="s">
        <v>181</v>
      </c>
      <c r="D6" s="54"/>
      <c r="E6" s="54"/>
    </row>
    <row r="7" spans="1:6" ht="72" customHeight="1">
      <c r="A7" s="21"/>
      <c r="B7" s="21"/>
      <c r="C7" s="37" t="s">
        <v>182</v>
      </c>
      <c r="D7" s="54"/>
      <c r="E7" s="54"/>
    </row>
    <row r="8" spans="1:6" ht="99.75" customHeight="1">
      <c r="A8" s="21"/>
      <c r="B8" s="21"/>
      <c r="C8" s="37" t="s">
        <v>183</v>
      </c>
      <c r="D8" s="54"/>
      <c r="E8" s="54"/>
    </row>
    <row r="9" spans="1:6" ht="84" customHeight="1">
      <c r="A9" s="21"/>
      <c r="B9" s="21"/>
      <c r="C9" s="37" t="s">
        <v>184</v>
      </c>
      <c r="D9" s="54"/>
      <c r="E9" s="54"/>
    </row>
    <row r="10" spans="1:6" ht="115.5" customHeight="1">
      <c r="A10" s="21"/>
      <c r="B10" s="21"/>
      <c r="C10" s="37" t="s">
        <v>185</v>
      </c>
      <c r="D10" s="54"/>
      <c r="E10" s="54"/>
    </row>
    <row r="11" spans="1:6" ht="100.5" customHeight="1">
      <c r="A11" s="21"/>
      <c r="B11" s="21"/>
      <c r="C11" s="37" t="s">
        <v>186</v>
      </c>
      <c r="D11" s="54"/>
      <c r="E11" s="54"/>
    </row>
    <row r="12" spans="1:6" ht="104.25" customHeight="1">
      <c r="A12" s="21"/>
      <c r="B12" s="21"/>
      <c r="C12" s="37" t="s">
        <v>187</v>
      </c>
      <c r="D12" s="54"/>
      <c r="E12" s="54"/>
    </row>
    <row r="13" spans="1:6" ht="16.5" customHeight="1">
      <c r="A13" s="21"/>
      <c r="B13" s="21"/>
      <c r="C13" s="21"/>
      <c r="D13" s="21"/>
      <c r="E13" s="21"/>
    </row>
    <row r="14" spans="1:6" ht="16.5" customHeight="1">
      <c r="A14" s="21"/>
      <c r="B14" s="21"/>
      <c r="C14" s="21"/>
      <c r="D14" s="21"/>
      <c r="E14" s="21"/>
    </row>
    <row r="15" spans="1:6" ht="16.5" customHeight="1">
      <c r="A15" s="21"/>
      <c r="B15" s="21"/>
      <c r="C15" s="147" t="s">
        <v>188</v>
      </c>
      <c r="D15" s="147"/>
      <c r="E15" s="21"/>
    </row>
    <row r="16" spans="1:6" ht="16.5" customHeight="1">
      <c r="A16" s="21"/>
      <c r="B16" s="21"/>
      <c r="C16" s="151"/>
      <c r="D16" s="151"/>
      <c r="E16" s="151"/>
    </row>
    <row r="17" spans="1:5" ht="16.5" customHeight="1">
      <c r="A17" s="21"/>
      <c r="B17" s="21"/>
      <c r="C17" s="151"/>
      <c r="D17" s="151"/>
      <c r="E17" s="151"/>
    </row>
    <row r="18" spans="1:5" ht="16.5" customHeight="1">
      <c r="A18" s="21"/>
      <c r="B18" s="21"/>
      <c r="C18" s="151"/>
      <c r="D18" s="151"/>
      <c r="E18" s="151"/>
    </row>
    <row r="19" spans="1:5" ht="16.5" customHeight="1">
      <c r="A19" s="21"/>
      <c r="B19" s="21"/>
      <c r="C19" s="151"/>
      <c r="D19" s="151"/>
      <c r="E19" s="151"/>
    </row>
    <row r="20" spans="1:5" ht="16.5" customHeight="1">
      <c r="A20" s="21"/>
      <c r="B20" s="21"/>
      <c r="C20" s="151"/>
      <c r="D20" s="151"/>
      <c r="E20" s="151"/>
    </row>
    <row r="21" spans="1:5" ht="16.5" customHeight="1">
      <c r="A21" s="21"/>
      <c r="B21" s="21"/>
      <c r="C21" s="151"/>
      <c r="D21" s="151"/>
      <c r="E21" s="151"/>
    </row>
    <row r="22" spans="1:5" ht="16.5" customHeight="1">
      <c r="A22" s="21"/>
      <c r="B22" s="21"/>
      <c r="C22" s="151"/>
      <c r="D22" s="151"/>
      <c r="E22" s="151"/>
    </row>
    <row r="23" spans="1:5" ht="16.5" customHeight="1">
      <c r="A23" s="21"/>
      <c r="B23" s="21"/>
      <c r="C23" s="151"/>
      <c r="D23" s="151"/>
      <c r="E23" s="151"/>
    </row>
    <row r="24" spans="1:5" ht="16.5" customHeight="1">
      <c r="A24" s="21"/>
      <c r="B24" s="21"/>
      <c r="C24" s="151"/>
      <c r="D24" s="151"/>
      <c r="E24" s="151"/>
    </row>
    <row r="25" spans="1:5" ht="54.75" customHeight="1">
      <c r="A25" s="21"/>
      <c r="B25" s="21"/>
      <c r="C25" s="151"/>
      <c r="D25" s="151"/>
      <c r="E25" s="151"/>
    </row>
  </sheetData>
  <mergeCells count="4">
    <mergeCell ref="B1:F1"/>
    <mergeCell ref="B2:D2"/>
    <mergeCell ref="C15:D15"/>
    <mergeCell ref="C16:E25"/>
  </mergeCells>
  <phoneticPr fontId="63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M2"/>
  <sheetViews>
    <sheetView showGridLines="0" zoomScaleNormal="100" workbookViewId="0">
      <selection activeCell="D56" sqref="D56"/>
    </sheetView>
  </sheetViews>
  <sheetFormatPr defaultColWidth="8.73046875" defaultRowHeight="14.25"/>
  <cols>
    <col min="2" max="2" width="3" customWidth="1"/>
    <col min="3" max="3" width="25" customWidth="1"/>
    <col min="4" max="4" width="46.265625" customWidth="1"/>
    <col min="5" max="5" width="39.86328125" customWidth="1"/>
    <col min="6" max="6" width="53" customWidth="1"/>
  </cols>
  <sheetData>
    <row r="1" spans="1:13" ht="25.5" customHeight="1">
      <c r="A1" s="21"/>
      <c r="B1" s="152" t="s">
        <v>189</v>
      </c>
      <c r="C1" s="152"/>
      <c r="D1" s="152"/>
      <c r="E1" s="152"/>
      <c r="F1" s="152"/>
      <c r="G1" s="152"/>
    </row>
    <row r="2" spans="1:13" ht="27.75" customHeight="1">
      <c r="A2" s="21"/>
      <c r="B2" s="153" t="s">
        <v>190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</row>
  </sheetData>
  <mergeCells count="2">
    <mergeCell ref="B1:G1"/>
    <mergeCell ref="B2:M2"/>
  </mergeCells>
  <phoneticPr fontId="6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M2"/>
  <sheetViews>
    <sheetView showGridLines="0" zoomScaleNormal="100" workbookViewId="0">
      <selection activeCell="Q56" sqref="Q56"/>
    </sheetView>
  </sheetViews>
  <sheetFormatPr defaultColWidth="8.73046875" defaultRowHeight="14.25"/>
  <cols>
    <col min="2" max="2" width="3" customWidth="1"/>
  </cols>
  <sheetData>
    <row r="1" spans="1:13" ht="25.5" customHeight="1">
      <c r="A1" s="21"/>
      <c r="B1" s="152" t="s">
        <v>191</v>
      </c>
      <c r="C1" s="152"/>
      <c r="D1" s="152"/>
      <c r="E1" s="152"/>
      <c r="F1" s="152"/>
      <c r="G1" s="152"/>
    </row>
    <row r="2" spans="1:13" ht="27.75" customHeight="1">
      <c r="A2" s="21"/>
      <c r="B2" s="154" t="s">
        <v>192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</row>
  </sheetData>
  <mergeCells count="2">
    <mergeCell ref="B1:G1"/>
    <mergeCell ref="B2:M2"/>
  </mergeCells>
  <phoneticPr fontId="6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15"/>
  <sheetViews>
    <sheetView showGridLines="0" zoomScaleNormal="100" workbookViewId="0">
      <selection activeCell="F21" sqref="F21"/>
    </sheetView>
  </sheetViews>
  <sheetFormatPr defaultColWidth="8.73046875" defaultRowHeight="14.25"/>
  <cols>
    <col min="2" max="2" width="3" customWidth="1"/>
    <col min="3" max="3" width="22" customWidth="1"/>
    <col min="4" max="4" width="40" customWidth="1"/>
    <col min="5" max="5" width="51.1328125" customWidth="1"/>
    <col min="6" max="6" width="40" customWidth="1"/>
    <col min="7" max="7" width="63.59765625" customWidth="1"/>
  </cols>
  <sheetData>
    <row r="1" spans="2:7" ht="46.5" customHeight="1">
      <c r="B1" s="156" t="s">
        <v>193</v>
      </c>
      <c r="C1" s="156"/>
      <c r="D1" s="156"/>
      <c r="E1" s="156"/>
    </row>
    <row r="2" spans="2:7" ht="27.75" customHeight="1">
      <c r="B2" s="157" t="s">
        <v>194</v>
      </c>
      <c r="C2" s="157"/>
      <c r="D2" s="157"/>
      <c r="E2" s="157"/>
      <c r="F2" s="157"/>
      <c r="G2" s="157"/>
    </row>
    <row r="4" spans="2:7" ht="16.5" customHeight="1">
      <c r="C4" s="158" t="s">
        <v>195</v>
      </c>
      <c r="D4" s="158"/>
    </row>
    <row r="5" spans="2:7" ht="30.75" customHeight="1">
      <c r="C5" s="159" t="s">
        <v>196</v>
      </c>
      <c r="D5" s="159"/>
      <c r="E5" s="159"/>
      <c r="F5" s="159"/>
      <c r="G5" s="159"/>
    </row>
    <row r="7" spans="2:7" ht="16.5" customHeight="1">
      <c r="C7" s="158" t="s">
        <v>197</v>
      </c>
      <c r="D7" s="158"/>
    </row>
    <row r="8" spans="2:7" ht="16.5" customHeight="1">
      <c r="C8" s="22" t="s">
        <v>13</v>
      </c>
      <c r="D8" s="22" t="s">
        <v>198</v>
      </c>
      <c r="E8" s="22" t="s">
        <v>199</v>
      </c>
      <c r="F8" s="22" t="s">
        <v>200</v>
      </c>
      <c r="G8" s="22" t="s">
        <v>201</v>
      </c>
    </row>
    <row r="9" spans="2:7" ht="93" customHeight="1">
      <c r="C9" s="57" t="s">
        <v>202</v>
      </c>
      <c r="D9" s="58" t="s">
        <v>203</v>
      </c>
      <c r="E9" s="59" t="s">
        <v>204</v>
      </c>
      <c r="F9" s="58" t="s">
        <v>205</v>
      </c>
      <c r="G9" s="60" t="s">
        <v>206</v>
      </c>
    </row>
    <row r="10" spans="2:7" ht="73.5" customHeight="1">
      <c r="C10" s="57" t="s">
        <v>207</v>
      </c>
      <c r="D10" s="59" t="s">
        <v>208</v>
      </c>
      <c r="E10" s="59" t="s">
        <v>209</v>
      </c>
      <c r="F10" s="58" t="s">
        <v>210</v>
      </c>
      <c r="G10" s="56" t="s">
        <v>211</v>
      </c>
    </row>
    <row r="11" spans="2:7" ht="72" customHeight="1">
      <c r="C11" s="57" t="s">
        <v>212</v>
      </c>
      <c r="D11" s="58" t="s">
        <v>213</v>
      </c>
      <c r="E11" s="59" t="s">
        <v>214</v>
      </c>
      <c r="F11" s="58" t="s">
        <v>215</v>
      </c>
      <c r="G11" s="56" t="s">
        <v>216</v>
      </c>
    </row>
    <row r="12" spans="2:7" ht="91.5" customHeight="1">
      <c r="C12" s="57" t="s">
        <v>217</v>
      </c>
      <c r="D12" s="59" t="s">
        <v>218</v>
      </c>
      <c r="E12" s="58" t="s">
        <v>219</v>
      </c>
      <c r="F12" s="58" t="s">
        <v>220</v>
      </c>
      <c r="G12" s="56" t="s">
        <v>221</v>
      </c>
    </row>
    <row r="13" spans="2:7" ht="94.5" customHeight="1">
      <c r="C13" s="57" t="s">
        <v>222</v>
      </c>
      <c r="D13" s="58" t="s">
        <v>223</v>
      </c>
      <c r="E13" s="58" t="s">
        <v>224</v>
      </c>
      <c r="F13" s="58" t="s">
        <v>225</v>
      </c>
      <c r="G13" s="56" t="s">
        <v>226</v>
      </c>
    </row>
    <row r="14" spans="2:7" ht="119.25" customHeight="1">
      <c r="C14" s="57" t="s">
        <v>227</v>
      </c>
      <c r="D14" s="58" t="s">
        <v>228</v>
      </c>
      <c r="E14" s="59" t="s">
        <v>229</v>
      </c>
      <c r="F14" s="59" t="s">
        <v>230</v>
      </c>
      <c r="G14" s="56" t="s">
        <v>231</v>
      </c>
    </row>
    <row r="15" spans="2:7" ht="14.25" customHeight="1">
      <c r="F15" s="155"/>
      <c r="G15" s="155"/>
    </row>
  </sheetData>
  <mergeCells count="6">
    <mergeCell ref="F15:G15"/>
    <mergeCell ref="B1:E1"/>
    <mergeCell ref="B2:G2"/>
    <mergeCell ref="C4:D4"/>
    <mergeCell ref="C5:G5"/>
    <mergeCell ref="C7:D7"/>
  </mergeCells>
  <phoneticPr fontId="6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BC70"/>
  <sheetViews>
    <sheetView showGridLines="0" zoomScaleNormal="100" workbookViewId="0">
      <pane xSplit="3" ySplit="6" topLeftCell="D47" activePane="bottomRight" state="frozen"/>
      <selection pane="topRight" activeCell="D1" sqref="D1"/>
      <selection pane="bottomLeft" activeCell="A15" sqref="A15"/>
      <selection pane="bottomRight" activeCell="Y22" sqref="Y22:AD28"/>
    </sheetView>
  </sheetViews>
  <sheetFormatPr defaultColWidth="8.73046875" defaultRowHeight="14.25"/>
  <cols>
    <col min="1" max="1" width="2.86328125" customWidth="1"/>
    <col min="2" max="2" width="3" customWidth="1"/>
    <col min="3" max="3" width="38.6640625" customWidth="1"/>
    <col min="4" max="4" width="14" customWidth="1"/>
    <col min="5" max="5" width="12.86328125" customWidth="1"/>
    <col min="6" max="9" width="14.1328125" customWidth="1"/>
    <col min="10" max="10" width="2" customWidth="1"/>
    <col min="11" max="11" width="14" customWidth="1"/>
    <col min="12" max="15" width="14.1328125" customWidth="1"/>
    <col min="16" max="16" width="21.59765625" customWidth="1"/>
    <col min="17" max="17" width="2" customWidth="1"/>
    <col min="18" max="18" width="11" customWidth="1"/>
    <col min="19" max="23" width="8.86328125" customWidth="1"/>
    <col min="24" max="24" width="2" customWidth="1"/>
    <col min="25" max="25" width="11" customWidth="1"/>
    <col min="26" max="30" width="8.86328125" customWidth="1"/>
    <col min="31" max="31" width="2" customWidth="1"/>
    <col min="32" max="32" width="14.1328125" customWidth="1"/>
    <col min="33" max="33" width="10.59765625" customWidth="1"/>
    <col min="34" max="34" width="9.3984375" customWidth="1"/>
    <col min="35" max="35" width="10.3984375" customWidth="1"/>
    <col min="36" max="36" width="10.59765625" customWidth="1"/>
    <col min="37" max="37" width="2" customWidth="1"/>
    <col min="38" max="38" width="12" customWidth="1"/>
    <col min="39" max="39" width="9.265625" customWidth="1"/>
    <col min="40" max="40" width="10.73046875" customWidth="1"/>
    <col min="41" max="41" width="10.59765625" customWidth="1"/>
    <col min="43" max="43" width="2.73046875" customWidth="1"/>
    <col min="44" max="44" width="72.86328125" customWidth="1"/>
  </cols>
  <sheetData>
    <row r="1" spans="1:55" ht="25.5" customHeight="1">
      <c r="A1" s="21"/>
      <c r="B1" s="144" t="s">
        <v>232</v>
      </c>
      <c r="C1" s="144"/>
      <c r="D1" s="144"/>
      <c r="E1" s="144"/>
      <c r="F1" s="144"/>
      <c r="G1" s="144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</row>
    <row r="2" spans="1:55" ht="27.75" customHeight="1">
      <c r="A2" s="21"/>
      <c r="B2" s="146" t="s">
        <v>233</v>
      </c>
      <c r="C2" s="146"/>
      <c r="D2" s="146"/>
      <c r="E2" s="146"/>
      <c r="F2" s="146"/>
      <c r="G2" s="146"/>
      <c r="H2" s="146"/>
      <c r="I2" s="146"/>
      <c r="J2" s="146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55" ht="16.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61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</row>
    <row r="4" spans="1:55" ht="16.5" customHeight="1">
      <c r="A4" s="21"/>
      <c r="B4" s="21"/>
      <c r="C4" s="21"/>
      <c r="D4" s="163" t="s">
        <v>234</v>
      </c>
      <c r="E4" s="163"/>
      <c r="F4" s="163"/>
      <c r="G4" s="163"/>
      <c r="H4" s="163"/>
      <c r="I4" s="163"/>
      <c r="J4" s="21"/>
      <c r="K4" s="163" t="s">
        <v>235</v>
      </c>
      <c r="L4" s="163"/>
      <c r="M4" s="163"/>
      <c r="N4" s="163"/>
      <c r="O4" s="163"/>
      <c r="P4" s="163"/>
      <c r="Q4" s="21"/>
      <c r="R4" s="163" t="s">
        <v>236</v>
      </c>
      <c r="S4" s="163"/>
      <c r="T4" s="163"/>
      <c r="U4" s="163"/>
      <c r="V4" s="163"/>
      <c r="W4" s="163"/>
      <c r="X4" s="21"/>
      <c r="Y4" s="163" t="s">
        <v>237</v>
      </c>
      <c r="Z4" s="163"/>
      <c r="AA4" s="163"/>
      <c r="AB4" s="163"/>
      <c r="AC4" s="163"/>
      <c r="AD4" s="163"/>
      <c r="AE4" s="21"/>
      <c r="AF4" s="163" t="s">
        <v>238</v>
      </c>
      <c r="AG4" s="163"/>
      <c r="AH4" s="163"/>
      <c r="AI4" s="163"/>
      <c r="AJ4" s="163"/>
      <c r="AK4" s="21"/>
      <c r="AL4" s="163" t="s">
        <v>239</v>
      </c>
      <c r="AM4" s="163"/>
      <c r="AN4" s="163"/>
      <c r="AO4" s="163"/>
      <c r="AP4" s="163"/>
      <c r="AQ4" s="21"/>
      <c r="AR4" s="160" t="s">
        <v>240</v>
      </c>
      <c r="AS4" s="160"/>
      <c r="AT4" s="160"/>
      <c r="AU4" s="160"/>
      <c r="AV4" s="160"/>
      <c r="AW4" s="160"/>
      <c r="AX4" s="160"/>
      <c r="AY4" s="160"/>
      <c r="AZ4" s="62"/>
      <c r="BA4" s="62"/>
      <c r="BB4" s="62"/>
      <c r="BC4" s="62"/>
    </row>
    <row r="5" spans="1:55" ht="33.75" customHeight="1">
      <c r="A5" s="21"/>
      <c r="B5" s="21"/>
      <c r="C5" s="4" t="s">
        <v>241</v>
      </c>
      <c r="D5" s="63" t="s">
        <v>242</v>
      </c>
      <c r="E5" s="63" t="s">
        <v>243</v>
      </c>
      <c r="F5" s="63" t="s">
        <v>244</v>
      </c>
      <c r="G5" s="63" t="s">
        <v>245</v>
      </c>
      <c r="H5" s="63" t="s">
        <v>246</v>
      </c>
      <c r="I5" s="63" t="s">
        <v>247</v>
      </c>
      <c r="J5" s="21"/>
      <c r="K5" s="63" t="s">
        <v>242</v>
      </c>
      <c r="L5" s="63" t="s">
        <v>243</v>
      </c>
      <c r="M5" s="63" t="s">
        <v>244</v>
      </c>
      <c r="N5" s="63" t="s">
        <v>245</v>
      </c>
      <c r="O5" s="63" t="s">
        <v>246</v>
      </c>
      <c r="P5" s="63" t="s">
        <v>247</v>
      </c>
      <c r="Q5" s="21"/>
      <c r="R5" s="63" t="s">
        <v>242</v>
      </c>
      <c r="S5" s="63" t="s">
        <v>243</v>
      </c>
      <c r="T5" s="63" t="s">
        <v>244</v>
      </c>
      <c r="U5" s="63" t="s">
        <v>245</v>
      </c>
      <c r="V5" s="63" t="s">
        <v>246</v>
      </c>
      <c r="W5" s="63" t="s">
        <v>247</v>
      </c>
      <c r="X5" s="21"/>
      <c r="Y5" s="63" t="s">
        <v>242</v>
      </c>
      <c r="Z5" s="63" t="s">
        <v>243</v>
      </c>
      <c r="AA5" s="63" t="s">
        <v>244</v>
      </c>
      <c r="AB5" s="63" t="s">
        <v>245</v>
      </c>
      <c r="AC5" s="63" t="s">
        <v>246</v>
      </c>
      <c r="AD5" s="63" t="s">
        <v>247</v>
      </c>
      <c r="AE5" s="21"/>
      <c r="AF5" s="63" t="s">
        <v>248</v>
      </c>
      <c r="AG5" s="64" t="s">
        <v>249</v>
      </c>
      <c r="AH5" s="64" t="s">
        <v>250</v>
      </c>
      <c r="AI5" s="64" t="s">
        <v>251</v>
      </c>
      <c r="AJ5" s="64" t="s">
        <v>252</v>
      </c>
      <c r="AK5" s="21"/>
      <c r="AL5" s="63" t="s">
        <v>248</v>
      </c>
      <c r="AM5" s="64" t="s">
        <v>249</v>
      </c>
      <c r="AN5" s="64" t="s">
        <v>250</v>
      </c>
      <c r="AO5" s="64" t="s">
        <v>251</v>
      </c>
      <c r="AP5" s="64" t="s">
        <v>252</v>
      </c>
      <c r="AQ5" s="21"/>
      <c r="AR5" s="61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</row>
    <row r="6" spans="1:55" ht="14.25" customHeight="1">
      <c r="A6" s="21"/>
      <c r="B6" s="21"/>
      <c r="C6" s="11" t="s">
        <v>253</v>
      </c>
      <c r="D6" s="65"/>
      <c r="E6" s="65"/>
      <c r="F6" s="65"/>
      <c r="G6" s="65"/>
      <c r="H6" s="65"/>
      <c r="I6" s="65"/>
      <c r="J6" s="21"/>
      <c r="K6" s="65"/>
      <c r="L6" s="65"/>
      <c r="M6" s="65"/>
      <c r="N6" s="65"/>
      <c r="O6" s="65"/>
      <c r="P6" s="65"/>
      <c r="Q6" s="21"/>
      <c r="R6" s="65"/>
      <c r="S6" s="65"/>
      <c r="T6" s="65"/>
      <c r="U6" s="65"/>
      <c r="V6" s="65"/>
      <c r="W6" s="65"/>
      <c r="X6" s="21"/>
      <c r="Y6" s="65"/>
      <c r="Z6" s="65"/>
      <c r="AA6" s="65"/>
      <c r="AB6" s="65"/>
      <c r="AC6" s="65"/>
      <c r="AD6" s="65"/>
      <c r="AE6" s="21"/>
      <c r="AF6" s="66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160" t="s">
        <v>254</v>
      </c>
      <c r="AS6" s="160"/>
      <c r="AT6" s="160"/>
      <c r="AU6" s="160"/>
      <c r="AV6" s="160"/>
      <c r="AW6" s="160"/>
      <c r="AX6" s="160"/>
      <c r="AY6" s="160"/>
      <c r="AZ6" s="160"/>
      <c r="BA6" s="160"/>
      <c r="BB6" s="62"/>
      <c r="BC6" s="62"/>
    </row>
    <row r="7" spans="1:55" ht="16.5" customHeight="1">
      <c r="A7" s="21"/>
      <c r="B7" s="21"/>
      <c r="C7" s="9" t="s">
        <v>255</v>
      </c>
      <c r="D7" s="67"/>
      <c r="E7" s="67"/>
      <c r="F7" s="67"/>
      <c r="G7" s="67"/>
      <c r="H7" s="67"/>
      <c r="I7" s="67"/>
      <c r="J7" s="21"/>
      <c r="K7" s="67"/>
      <c r="L7" s="67"/>
      <c r="M7" s="67"/>
      <c r="N7" s="67"/>
      <c r="O7" s="67"/>
      <c r="P7" s="67"/>
      <c r="Q7" s="21"/>
      <c r="R7" s="68" t="str">
        <f t="shared" ref="R7:R15" si="0">IFERROR(D7/D$31,"")</f>
        <v/>
      </c>
      <c r="S7" s="68" t="str">
        <f t="shared" ref="S7:S15" si="1">IFERROR(E7/E$31,"")</f>
        <v/>
      </c>
      <c r="T7" s="68" t="str">
        <f t="shared" ref="T7:T15" si="2">IFERROR(F7/F$31,"")</f>
        <v/>
      </c>
      <c r="U7" s="68" t="str">
        <f t="shared" ref="U7:U15" si="3">IFERROR(G7/G$31,"")</f>
        <v/>
      </c>
      <c r="V7" s="68" t="str">
        <f t="shared" ref="V7:V15" si="4">IFERROR(H7/H$31,"")</f>
        <v/>
      </c>
      <c r="W7" s="68" t="str">
        <f t="shared" ref="W7:W15" si="5">IFERROR(I7/I$31,"")</f>
        <v/>
      </c>
      <c r="X7" s="21"/>
      <c r="Y7" s="68" t="str">
        <f t="shared" ref="Y7:Y15" si="6">IFERROR(K7/K$31,"")</f>
        <v/>
      </c>
      <c r="Z7" s="68" t="str">
        <f t="shared" ref="Z7:Z15" si="7">IFERROR(L7/L$31,"")</f>
        <v/>
      </c>
      <c r="AA7" s="68" t="str">
        <f t="shared" ref="AA7:AA15" si="8">IFERROR(M7/M$31,"")</f>
        <v/>
      </c>
      <c r="AB7" s="68" t="str">
        <f t="shared" ref="AB7:AB15" si="9">IFERROR(N7/N$31,"")</f>
        <v/>
      </c>
      <c r="AC7" s="68" t="str">
        <f t="shared" ref="AC7:AC15" si="10">IFERROR(O7/O$31,"")</f>
        <v/>
      </c>
      <c r="AD7" s="68" t="str">
        <f t="shared" ref="AD7:AD15" si="11">IFERROR(P7/P$31,"")</f>
        <v/>
      </c>
      <c r="AE7" s="21"/>
      <c r="AF7" s="69" t="str">
        <f t="shared" ref="AF7:AF15" si="12">IF(OR(D7="",D7=0),"",IFERROR(E7/D7-1,""))</f>
        <v/>
      </c>
      <c r="AG7" s="69" t="str">
        <f t="shared" ref="AG7:AG15" si="13">IF(OR(E7="",E7=0),"",IFERROR(F7/E7-1,""))</f>
        <v/>
      </c>
      <c r="AH7" s="69" t="str">
        <f t="shared" ref="AH7:AH15" si="14">IF(OR(F7="",F7=0),"",IFERROR(G7/F7-1,""))</f>
        <v/>
      </c>
      <c r="AI7" s="69" t="str">
        <f t="shared" ref="AI7:AI15" si="15">IF(OR(G7="",G7=0),"",IFERROR(H7/G7-1,""))</f>
        <v/>
      </c>
      <c r="AJ7" s="69" t="str">
        <f t="shared" ref="AJ7:AJ15" si="16">IF(OR(H7="",H7=0),"",IFERROR(I7/H7-1,""))</f>
        <v/>
      </c>
      <c r="AK7" s="21"/>
      <c r="AL7" s="69" t="str">
        <f t="shared" ref="AL7:AL15" si="17">IF(OR(K7="",K7=0),"",IFERROR(L7/K7-1,""))</f>
        <v/>
      </c>
      <c r="AM7" s="69" t="str">
        <f t="shared" ref="AM7:AM15" si="18">IF(OR(L7="",L7=0),"",IFERROR(M7/L7-1,""))</f>
        <v/>
      </c>
      <c r="AN7" s="69" t="str">
        <f t="shared" ref="AN7:AN15" si="19">IF(OR(M7="",M7=0),"",IFERROR(N7/M7-1,""))</f>
        <v/>
      </c>
      <c r="AO7" s="69" t="str">
        <f t="shared" ref="AO7:AO15" si="20">IF(OR(N7="",N7=0),"",IFERROR(O7/N7-1,""))</f>
        <v/>
      </c>
      <c r="AP7" s="69" t="str">
        <f t="shared" ref="AP7:AP15" si="21">IF(OR(O7="",O7=0),"",IFERROR(P7/O7-1,""))</f>
        <v/>
      </c>
      <c r="AQ7" s="21"/>
      <c r="AR7" s="61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</row>
    <row r="8" spans="1:55" ht="16.5" customHeight="1">
      <c r="A8" s="21"/>
      <c r="B8" s="21"/>
      <c r="C8" s="9" t="s">
        <v>256</v>
      </c>
      <c r="D8" s="67"/>
      <c r="E8" s="67"/>
      <c r="F8" s="67"/>
      <c r="G8" s="67"/>
      <c r="H8" s="67"/>
      <c r="I8" s="67"/>
      <c r="J8" s="21"/>
      <c r="K8" s="67"/>
      <c r="L8" s="67"/>
      <c r="M8" s="67"/>
      <c r="N8" s="67"/>
      <c r="O8" s="67"/>
      <c r="P8" s="67"/>
      <c r="Q8" s="21"/>
      <c r="R8" s="68" t="str">
        <f t="shared" si="0"/>
        <v/>
      </c>
      <c r="S8" s="68" t="str">
        <f t="shared" si="1"/>
        <v/>
      </c>
      <c r="T8" s="68" t="str">
        <f t="shared" si="2"/>
        <v/>
      </c>
      <c r="U8" s="68" t="str">
        <f t="shared" si="3"/>
        <v/>
      </c>
      <c r="V8" s="68" t="str">
        <f t="shared" si="4"/>
        <v/>
      </c>
      <c r="W8" s="68" t="str">
        <f t="shared" si="5"/>
        <v/>
      </c>
      <c r="X8" s="21"/>
      <c r="Y8" s="68" t="str">
        <f t="shared" si="6"/>
        <v/>
      </c>
      <c r="Z8" s="68" t="str">
        <f t="shared" si="7"/>
        <v/>
      </c>
      <c r="AA8" s="68" t="str">
        <f t="shared" si="8"/>
        <v/>
      </c>
      <c r="AB8" s="68" t="str">
        <f t="shared" si="9"/>
        <v/>
      </c>
      <c r="AC8" s="68" t="str">
        <f t="shared" si="10"/>
        <v/>
      </c>
      <c r="AD8" s="68" t="str">
        <f t="shared" si="11"/>
        <v/>
      </c>
      <c r="AE8" s="21"/>
      <c r="AF8" s="69" t="str">
        <f t="shared" si="12"/>
        <v/>
      </c>
      <c r="AG8" s="69" t="str">
        <f t="shared" si="13"/>
        <v/>
      </c>
      <c r="AH8" s="69" t="str">
        <f t="shared" si="14"/>
        <v/>
      </c>
      <c r="AI8" s="69" t="str">
        <f t="shared" si="15"/>
        <v/>
      </c>
      <c r="AJ8" s="69" t="str">
        <f t="shared" si="16"/>
        <v/>
      </c>
      <c r="AK8" s="21"/>
      <c r="AL8" s="69" t="str">
        <f t="shared" si="17"/>
        <v/>
      </c>
      <c r="AM8" s="69" t="str">
        <f t="shared" si="18"/>
        <v/>
      </c>
      <c r="AN8" s="69" t="str">
        <f t="shared" si="19"/>
        <v/>
      </c>
      <c r="AO8" s="69" t="str">
        <f t="shared" si="20"/>
        <v/>
      </c>
      <c r="AP8" s="69" t="str">
        <f t="shared" si="21"/>
        <v/>
      </c>
      <c r="AQ8" s="21"/>
      <c r="AR8" s="160" t="s">
        <v>257</v>
      </c>
      <c r="AS8" s="160"/>
      <c r="AT8" s="160"/>
      <c r="AU8" s="160"/>
      <c r="AV8" s="160"/>
      <c r="AW8" s="160"/>
      <c r="AX8" s="160"/>
      <c r="AY8" s="160"/>
      <c r="AZ8" s="160"/>
      <c r="BA8" s="160"/>
      <c r="BB8" s="160"/>
      <c r="BC8" s="62"/>
    </row>
    <row r="9" spans="1:55" ht="16.5" customHeight="1">
      <c r="A9" s="21"/>
      <c r="B9" s="21"/>
      <c r="C9" s="9" t="s">
        <v>258</v>
      </c>
      <c r="D9" s="67"/>
      <c r="E9" s="67"/>
      <c r="F9" s="67"/>
      <c r="G9" s="67"/>
      <c r="H9" s="67"/>
      <c r="I9" s="67"/>
      <c r="J9" s="21"/>
      <c r="K9" s="67"/>
      <c r="L9" s="67"/>
      <c r="M9" s="67"/>
      <c r="N9" s="67"/>
      <c r="O9" s="67"/>
      <c r="P9" s="67"/>
      <c r="Q9" s="21"/>
      <c r="R9" s="68" t="str">
        <f t="shared" si="0"/>
        <v/>
      </c>
      <c r="S9" s="68" t="str">
        <f t="shared" si="1"/>
        <v/>
      </c>
      <c r="T9" s="68" t="str">
        <f t="shared" si="2"/>
        <v/>
      </c>
      <c r="U9" s="68" t="str">
        <f t="shared" si="3"/>
        <v/>
      </c>
      <c r="V9" s="68" t="str">
        <f t="shared" si="4"/>
        <v/>
      </c>
      <c r="W9" s="68" t="str">
        <f t="shared" si="5"/>
        <v/>
      </c>
      <c r="X9" s="21"/>
      <c r="Y9" s="68" t="str">
        <f t="shared" si="6"/>
        <v/>
      </c>
      <c r="Z9" s="68" t="str">
        <f t="shared" si="7"/>
        <v/>
      </c>
      <c r="AA9" s="68" t="str">
        <f t="shared" si="8"/>
        <v/>
      </c>
      <c r="AB9" s="68" t="str">
        <f t="shared" si="9"/>
        <v/>
      </c>
      <c r="AC9" s="68" t="str">
        <f t="shared" si="10"/>
        <v/>
      </c>
      <c r="AD9" s="68" t="str">
        <f t="shared" si="11"/>
        <v/>
      </c>
      <c r="AE9" s="21"/>
      <c r="AF9" s="69" t="str">
        <f t="shared" si="12"/>
        <v/>
      </c>
      <c r="AG9" s="69" t="str">
        <f t="shared" si="13"/>
        <v/>
      </c>
      <c r="AH9" s="69" t="str">
        <f t="shared" si="14"/>
        <v/>
      </c>
      <c r="AI9" s="69" t="str">
        <f t="shared" si="15"/>
        <v/>
      </c>
      <c r="AJ9" s="69" t="str">
        <f t="shared" si="16"/>
        <v/>
      </c>
      <c r="AK9" s="21"/>
      <c r="AL9" s="69" t="str">
        <f t="shared" si="17"/>
        <v/>
      </c>
      <c r="AM9" s="69" t="str">
        <f t="shared" si="18"/>
        <v/>
      </c>
      <c r="AN9" s="69" t="str">
        <f t="shared" si="19"/>
        <v/>
      </c>
      <c r="AO9" s="69" t="str">
        <f t="shared" si="20"/>
        <v/>
      </c>
      <c r="AP9" s="69" t="str">
        <f t="shared" si="21"/>
        <v/>
      </c>
      <c r="AQ9" s="21"/>
      <c r="AR9" s="61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</row>
    <row r="10" spans="1:55" ht="16.5" customHeight="1">
      <c r="A10" s="21"/>
      <c r="B10" s="21"/>
      <c r="C10" s="9" t="s">
        <v>259</v>
      </c>
      <c r="D10" s="67"/>
      <c r="E10" s="67"/>
      <c r="F10" s="67"/>
      <c r="G10" s="67"/>
      <c r="H10" s="67"/>
      <c r="I10" s="67"/>
      <c r="J10" s="21"/>
      <c r="K10" s="67"/>
      <c r="L10" s="67"/>
      <c r="M10" s="67"/>
      <c r="N10" s="67"/>
      <c r="O10" s="67"/>
      <c r="P10" s="67"/>
      <c r="Q10" s="21"/>
      <c r="R10" s="68" t="str">
        <f t="shared" si="0"/>
        <v/>
      </c>
      <c r="S10" s="68" t="str">
        <f t="shared" si="1"/>
        <v/>
      </c>
      <c r="T10" s="68" t="str">
        <f t="shared" si="2"/>
        <v/>
      </c>
      <c r="U10" s="68" t="str">
        <f t="shared" si="3"/>
        <v/>
      </c>
      <c r="V10" s="68" t="str">
        <f t="shared" si="4"/>
        <v/>
      </c>
      <c r="W10" s="68" t="str">
        <f t="shared" si="5"/>
        <v/>
      </c>
      <c r="X10" s="21"/>
      <c r="Y10" s="68" t="str">
        <f t="shared" si="6"/>
        <v/>
      </c>
      <c r="Z10" s="68" t="str">
        <f t="shared" si="7"/>
        <v/>
      </c>
      <c r="AA10" s="68" t="str">
        <f t="shared" si="8"/>
        <v/>
      </c>
      <c r="AB10" s="68" t="str">
        <f t="shared" si="9"/>
        <v/>
      </c>
      <c r="AC10" s="68" t="str">
        <f t="shared" si="10"/>
        <v/>
      </c>
      <c r="AD10" s="68" t="str">
        <f t="shared" si="11"/>
        <v/>
      </c>
      <c r="AE10" s="21"/>
      <c r="AF10" s="69" t="str">
        <f t="shared" si="12"/>
        <v/>
      </c>
      <c r="AG10" s="69" t="str">
        <f t="shared" si="13"/>
        <v/>
      </c>
      <c r="AH10" s="69" t="str">
        <f t="shared" si="14"/>
        <v/>
      </c>
      <c r="AI10" s="69" t="str">
        <f t="shared" si="15"/>
        <v/>
      </c>
      <c r="AJ10" s="69" t="str">
        <f t="shared" si="16"/>
        <v/>
      </c>
      <c r="AK10" s="21"/>
      <c r="AL10" s="69" t="str">
        <f t="shared" si="17"/>
        <v/>
      </c>
      <c r="AM10" s="69" t="str">
        <f t="shared" si="18"/>
        <v/>
      </c>
      <c r="AN10" s="69" t="str">
        <f t="shared" si="19"/>
        <v/>
      </c>
      <c r="AO10" s="69" t="str">
        <f t="shared" si="20"/>
        <v/>
      </c>
      <c r="AP10" s="69" t="str">
        <f t="shared" si="21"/>
        <v/>
      </c>
      <c r="AQ10" s="21"/>
      <c r="AR10" s="160" t="s">
        <v>260</v>
      </c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160"/>
    </row>
    <row r="11" spans="1:55" ht="16.5" customHeight="1">
      <c r="A11" s="21"/>
      <c r="B11" s="21"/>
      <c r="C11" s="9" t="s">
        <v>261</v>
      </c>
      <c r="D11" s="67"/>
      <c r="E11" s="67"/>
      <c r="F11" s="67"/>
      <c r="G11" s="67"/>
      <c r="H11" s="67"/>
      <c r="I11" s="67"/>
      <c r="J11" s="21"/>
      <c r="K11" s="67"/>
      <c r="L11" s="67"/>
      <c r="M11" s="67"/>
      <c r="N11" s="67"/>
      <c r="O11" s="67"/>
      <c r="P11" s="67"/>
      <c r="Q11" s="21"/>
      <c r="R11" s="68" t="str">
        <f t="shared" si="0"/>
        <v/>
      </c>
      <c r="S11" s="68" t="str">
        <f t="shared" si="1"/>
        <v/>
      </c>
      <c r="T11" s="68" t="str">
        <f t="shared" si="2"/>
        <v/>
      </c>
      <c r="U11" s="68" t="str">
        <f t="shared" si="3"/>
        <v/>
      </c>
      <c r="V11" s="68" t="str">
        <f t="shared" si="4"/>
        <v/>
      </c>
      <c r="W11" s="68" t="str">
        <f t="shared" si="5"/>
        <v/>
      </c>
      <c r="X11" s="21"/>
      <c r="Y11" s="68" t="str">
        <f t="shared" si="6"/>
        <v/>
      </c>
      <c r="Z11" s="68" t="str">
        <f t="shared" si="7"/>
        <v/>
      </c>
      <c r="AA11" s="68" t="str">
        <f t="shared" si="8"/>
        <v/>
      </c>
      <c r="AB11" s="68" t="str">
        <f t="shared" si="9"/>
        <v/>
      </c>
      <c r="AC11" s="68" t="str">
        <f t="shared" si="10"/>
        <v/>
      </c>
      <c r="AD11" s="68" t="str">
        <f t="shared" si="11"/>
        <v/>
      </c>
      <c r="AE11" s="21"/>
      <c r="AF11" s="69" t="str">
        <f t="shared" si="12"/>
        <v/>
      </c>
      <c r="AG11" s="69" t="str">
        <f t="shared" si="13"/>
        <v/>
      </c>
      <c r="AH11" s="69" t="str">
        <f t="shared" si="14"/>
        <v/>
      </c>
      <c r="AI11" s="69" t="str">
        <f t="shared" si="15"/>
        <v/>
      </c>
      <c r="AJ11" s="69" t="str">
        <f t="shared" si="16"/>
        <v/>
      </c>
      <c r="AK11" s="21"/>
      <c r="AL11" s="69" t="str">
        <f t="shared" si="17"/>
        <v/>
      </c>
      <c r="AM11" s="69" t="str">
        <f t="shared" si="18"/>
        <v/>
      </c>
      <c r="AN11" s="69" t="str">
        <f t="shared" si="19"/>
        <v/>
      </c>
      <c r="AO11" s="69" t="str">
        <f t="shared" si="20"/>
        <v/>
      </c>
      <c r="AP11" s="69" t="str">
        <f t="shared" si="21"/>
        <v/>
      </c>
      <c r="AQ11" s="21"/>
      <c r="AR11" s="61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</row>
    <row r="12" spans="1:55" ht="16.5" customHeight="1">
      <c r="A12" s="21"/>
      <c r="B12" s="21"/>
      <c r="C12" s="9" t="s">
        <v>262</v>
      </c>
      <c r="D12" s="67"/>
      <c r="E12" s="67"/>
      <c r="F12" s="67"/>
      <c r="G12" s="67"/>
      <c r="H12" s="67"/>
      <c r="I12" s="67"/>
      <c r="J12" s="21"/>
      <c r="K12" s="67"/>
      <c r="L12" s="67"/>
      <c r="M12" s="67"/>
      <c r="N12" s="67"/>
      <c r="O12" s="67"/>
      <c r="P12" s="67"/>
      <c r="Q12" s="21"/>
      <c r="R12" s="68" t="str">
        <f t="shared" si="0"/>
        <v/>
      </c>
      <c r="S12" s="68" t="str">
        <f t="shared" si="1"/>
        <v/>
      </c>
      <c r="T12" s="68" t="str">
        <f t="shared" si="2"/>
        <v/>
      </c>
      <c r="U12" s="68" t="str">
        <f t="shared" si="3"/>
        <v/>
      </c>
      <c r="V12" s="68" t="str">
        <f t="shared" si="4"/>
        <v/>
      </c>
      <c r="W12" s="68" t="str">
        <f t="shared" si="5"/>
        <v/>
      </c>
      <c r="X12" s="21"/>
      <c r="Y12" s="68" t="str">
        <f t="shared" si="6"/>
        <v/>
      </c>
      <c r="Z12" s="68" t="str">
        <f t="shared" si="7"/>
        <v/>
      </c>
      <c r="AA12" s="68" t="str">
        <f t="shared" si="8"/>
        <v/>
      </c>
      <c r="AB12" s="68" t="str">
        <f t="shared" si="9"/>
        <v/>
      </c>
      <c r="AC12" s="68" t="str">
        <f t="shared" si="10"/>
        <v/>
      </c>
      <c r="AD12" s="68" t="str">
        <f t="shared" si="11"/>
        <v/>
      </c>
      <c r="AE12" s="21"/>
      <c r="AF12" s="69" t="str">
        <f t="shared" si="12"/>
        <v/>
      </c>
      <c r="AG12" s="69" t="str">
        <f t="shared" si="13"/>
        <v/>
      </c>
      <c r="AH12" s="69" t="str">
        <f t="shared" si="14"/>
        <v/>
      </c>
      <c r="AI12" s="69" t="str">
        <f t="shared" si="15"/>
        <v/>
      </c>
      <c r="AJ12" s="69" t="str">
        <f t="shared" si="16"/>
        <v/>
      </c>
      <c r="AK12" s="21"/>
      <c r="AL12" s="69" t="str">
        <f t="shared" si="17"/>
        <v/>
      </c>
      <c r="AM12" s="69" t="str">
        <f t="shared" si="18"/>
        <v/>
      </c>
      <c r="AN12" s="69" t="str">
        <f t="shared" si="19"/>
        <v/>
      </c>
      <c r="AO12" s="69" t="str">
        <f t="shared" si="20"/>
        <v/>
      </c>
      <c r="AP12" s="69" t="str">
        <f t="shared" si="21"/>
        <v/>
      </c>
      <c r="AQ12" s="21"/>
      <c r="AR12" s="160" t="s">
        <v>263</v>
      </c>
      <c r="AS12" s="160"/>
      <c r="AT12" s="160"/>
      <c r="AU12" s="160"/>
      <c r="AV12" s="160"/>
      <c r="AW12" s="160"/>
      <c r="AX12" s="160"/>
      <c r="AY12" s="160"/>
      <c r="AZ12" s="160"/>
      <c r="BA12" s="160"/>
      <c r="BB12" s="160"/>
      <c r="BC12" s="62"/>
    </row>
    <row r="13" spans="1:55" ht="16.5" customHeight="1">
      <c r="A13" s="21"/>
      <c r="B13" s="21"/>
      <c r="C13" s="9" t="s">
        <v>264</v>
      </c>
      <c r="D13" s="67"/>
      <c r="E13" s="67"/>
      <c r="F13" s="67"/>
      <c r="G13" s="67"/>
      <c r="H13" s="67"/>
      <c r="I13" s="67"/>
      <c r="J13" s="21"/>
      <c r="K13" s="67"/>
      <c r="L13" s="67"/>
      <c r="M13" s="67"/>
      <c r="N13" s="67"/>
      <c r="O13" s="67"/>
      <c r="P13" s="67"/>
      <c r="Q13" s="21"/>
      <c r="R13" s="68" t="str">
        <f t="shared" si="0"/>
        <v/>
      </c>
      <c r="S13" s="68" t="str">
        <f t="shared" si="1"/>
        <v/>
      </c>
      <c r="T13" s="68" t="str">
        <f t="shared" si="2"/>
        <v/>
      </c>
      <c r="U13" s="68" t="str">
        <f t="shared" si="3"/>
        <v/>
      </c>
      <c r="V13" s="68" t="str">
        <f t="shared" si="4"/>
        <v/>
      </c>
      <c r="W13" s="68" t="str">
        <f t="shared" si="5"/>
        <v/>
      </c>
      <c r="X13" s="21"/>
      <c r="Y13" s="68" t="str">
        <f t="shared" si="6"/>
        <v/>
      </c>
      <c r="Z13" s="68" t="str">
        <f t="shared" si="7"/>
        <v/>
      </c>
      <c r="AA13" s="68" t="str">
        <f t="shared" si="8"/>
        <v/>
      </c>
      <c r="AB13" s="68" t="str">
        <f t="shared" si="9"/>
        <v/>
      </c>
      <c r="AC13" s="68" t="str">
        <f t="shared" si="10"/>
        <v/>
      </c>
      <c r="AD13" s="68" t="str">
        <f t="shared" si="11"/>
        <v/>
      </c>
      <c r="AE13" s="21"/>
      <c r="AF13" s="69" t="str">
        <f t="shared" si="12"/>
        <v/>
      </c>
      <c r="AG13" s="69" t="str">
        <f t="shared" si="13"/>
        <v/>
      </c>
      <c r="AH13" s="69" t="str">
        <f t="shared" si="14"/>
        <v/>
      </c>
      <c r="AI13" s="69" t="str">
        <f t="shared" si="15"/>
        <v/>
      </c>
      <c r="AJ13" s="69" t="str">
        <f t="shared" si="16"/>
        <v/>
      </c>
      <c r="AK13" s="21"/>
      <c r="AL13" s="69" t="str">
        <f t="shared" si="17"/>
        <v/>
      </c>
      <c r="AM13" s="69" t="str">
        <f t="shared" si="18"/>
        <v/>
      </c>
      <c r="AN13" s="69" t="str">
        <f t="shared" si="19"/>
        <v/>
      </c>
      <c r="AO13" s="69" t="str">
        <f t="shared" si="20"/>
        <v/>
      </c>
      <c r="AP13" s="69" t="str">
        <f t="shared" si="21"/>
        <v/>
      </c>
      <c r="AQ13" s="21"/>
      <c r="AR13" s="61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</row>
    <row r="14" spans="1:55" ht="16.5" customHeight="1">
      <c r="A14" s="21"/>
      <c r="B14" s="21"/>
      <c r="C14" s="9" t="s">
        <v>265</v>
      </c>
      <c r="D14" s="67"/>
      <c r="E14" s="67"/>
      <c r="F14" s="67"/>
      <c r="G14" s="67"/>
      <c r="H14" s="67"/>
      <c r="I14" s="67"/>
      <c r="J14" s="21"/>
      <c r="K14" s="67"/>
      <c r="L14" s="67"/>
      <c r="M14" s="67"/>
      <c r="N14" s="67"/>
      <c r="O14" s="67"/>
      <c r="P14" s="67"/>
      <c r="Q14" s="21"/>
      <c r="R14" s="68" t="str">
        <f t="shared" si="0"/>
        <v/>
      </c>
      <c r="S14" s="68" t="str">
        <f t="shared" si="1"/>
        <v/>
      </c>
      <c r="T14" s="68" t="str">
        <f t="shared" si="2"/>
        <v/>
      </c>
      <c r="U14" s="68" t="str">
        <f t="shared" si="3"/>
        <v/>
      </c>
      <c r="V14" s="68" t="str">
        <f t="shared" si="4"/>
        <v/>
      </c>
      <c r="W14" s="68" t="str">
        <f t="shared" si="5"/>
        <v/>
      </c>
      <c r="X14" s="21"/>
      <c r="Y14" s="68" t="str">
        <f t="shared" si="6"/>
        <v/>
      </c>
      <c r="Z14" s="68" t="str">
        <f t="shared" si="7"/>
        <v/>
      </c>
      <c r="AA14" s="68" t="str">
        <f t="shared" si="8"/>
        <v/>
      </c>
      <c r="AB14" s="68" t="str">
        <f t="shared" si="9"/>
        <v/>
      </c>
      <c r="AC14" s="68" t="str">
        <f t="shared" si="10"/>
        <v/>
      </c>
      <c r="AD14" s="68" t="str">
        <f t="shared" si="11"/>
        <v/>
      </c>
      <c r="AE14" s="21"/>
      <c r="AF14" s="69" t="str">
        <f t="shared" si="12"/>
        <v/>
      </c>
      <c r="AG14" s="69" t="str">
        <f t="shared" si="13"/>
        <v/>
      </c>
      <c r="AH14" s="69" t="str">
        <f t="shared" si="14"/>
        <v/>
      </c>
      <c r="AI14" s="69" t="str">
        <f t="shared" si="15"/>
        <v/>
      </c>
      <c r="AJ14" s="69" t="str">
        <f t="shared" si="16"/>
        <v/>
      </c>
      <c r="AK14" s="21"/>
      <c r="AL14" s="69" t="str">
        <f t="shared" si="17"/>
        <v/>
      </c>
      <c r="AM14" s="69" t="str">
        <f t="shared" si="18"/>
        <v/>
      </c>
      <c r="AN14" s="69" t="str">
        <f t="shared" si="19"/>
        <v/>
      </c>
      <c r="AO14" s="69" t="str">
        <f t="shared" si="20"/>
        <v/>
      </c>
      <c r="AP14" s="69" t="str">
        <f t="shared" si="21"/>
        <v/>
      </c>
      <c r="AQ14" s="21"/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160"/>
      <c r="BC14" s="160"/>
    </row>
    <row r="15" spans="1:55" ht="16.5" customHeight="1">
      <c r="A15" s="21"/>
      <c r="B15" s="21"/>
      <c r="C15" s="9" t="s">
        <v>266</v>
      </c>
      <c r="D15" s="67"/>
      <c r="E15" s="67"/>
      <c r="F15" s="67"/>
      <c r="G15" s="67"/>
      <c r="H15" s="67"/>
      <c r="I15" s="67"/>
      <c r="J15" s="21"/>
      <c r="K15" s="67"/>
      <c r="L15" s="67"/>
      <c r="M15" s="67"/>
      <c r="N15" s="67"/>
      <c r="O15" s="67"/>
      <c r="P15" s="67"/>
      <c r="Q15" s="21"/>
      <c r="R15" s="68" t="str">
        <f t="shared" si="0"/>
        <v/>
      </c>
      <c r="S15" s="68" t="str">
        <f t="shared" si="1"/>
        <v/>
      </c>
      <c r="T15" s="68" t="str">
        <f t="shared" si="2"/>
        <v/>
      </c>
      <c r="U15" s="68" t="str">
        <f t="shared" si="3"/>
        <v/>
      </c>
      <c r="V15" s="68" t="str">
        <f t="shared" si="4"/>
        <v/>
      </c>
      <c r="W15" s="68" t="str">
        <f t="shared" si="5"/>
        <v/>
      </c>
      <c r="X15" s="21"/>
      <c r="Y15" s="68" t="str">
        <f t="shared" si="6"/>
        <v/>
      </c>
      <c r="Z15" s="68" t="str">
        <f t="shared" si="7"/>
        <v/>
      </c>
      <c r="AA15" s="68" t="str">
        <f t="shared" si="8"/>
        <v/>
      </c>
      <c r="AB15" s="68" t="str">
        <f t="shared" si="9"/>
        <v/>
      </c>
      <c r="AC15" s="68" t="str">
        <f t="shared" si="10"/>
        <v/>
      </c>
      <c r="AD15" s="68" t="str">
        <f t="shared" si="11"/>
        <v/>
      </c>
      <c r="AE15" s="21"/>
      <c r="AF15" s="69" t="str">
        <f t="shared" si="12"/>
        <v/>
      </c>
      <c r="AG15" s="69" t="str">
        <f t="shared" si="13"/>
        <v/>
      </c>
      <c r="AH15" s="69" t="str">
        <f t="shared" si="14"/>
        <v/>
      </c>
      <c r="AI15" s="69" t="str">
        <f t="shared" si="15"/>
        <v/>
      </c>
      <c r="AJ15" s="69" t="str">
        <f t="shared" si="16"/>
        <v/>
      </c>
      <c r="AK15" s="21"/>
      <c r="AL15" s="69" t="str">
        <f t="shared" si="17"/>
        <v/>
      </c>
      <c r="AM15" s="69" t="str">
        <f t="shared" si="18"/>
        <v/>
      </c>
      <c r="AN15" s="69" t="str">
        <f t="shared" si="19"/>
        <v/>
      </c>
      <c r="AO15" s="69" t="str">
        <f t="shared" si="20"/>
        <v/>
      </c>
      <c r="AP15" s="69" t="str">
        <f t="shared" si="21"/>
        <v/>
      </c>
      <c r="AQ15" s="21"/>
      <c r="AR15" s="61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</row>
    <row r="16" spans="1:55" ht="16.5" customHeight="1">
      <c r="A16" s="21"/>
      <c r="B16" s="21"/>
      <c r="C16" s="70" t="s">
        <v>267</v>
      </c>
      <c r="D16" s="71">
        <f t="shared" ref="D16:I16" si="22">SUM(D7:D15)</f>
        <v>0</v>
      </c>
      <c r="E16" s="71">
        <f t="shared" si="22"/>
        <v>0</v>
      </c>
      <c r="F16" s="71">
        <f t="shared" si="22"/>
        <v>0</v>
      </c>
      <c r="G16" s="71">
        <f t="shared" si="22"/>
        <v>0</v>
      </c>
      <c r="H16" s="71">
        <f t="shared" si="22"/>
        <v>0</v>
      </c>
      <c r="I16" s="71">
        <f t="shared" si="22"/>
        <v>0</v>
      </c>
      <c r="J16" s="21"/>
      <c r="K16" s="71">
        <f t="shared" ref="K16:P16" si="23">SUM(K7:K15)</f>
        <v>0</v>
      </c>
      <c r="L16" s="71">
        <f t="shared" si="23"/>
        <v>0</v>
      </c>
      <c r="M16" s="71">
        <f t="shared" si="23"/>
        <v>0</v>
      </c>
      <c r="N16" s="71">
        <f t="shared" si="23"/>
        <v>0</v>
      </c>
      <c r="O16" s="71">
        <f t="shared" si="23"/>
        <v>0</v>
      </c>
      <c r="P16" s="71">
        <f t="shared" si="23"/>
        <v>0</v>
      </c>
      <c r="Q16" s="21"/>
      <c r="R16" s="68"/>
      <c r="S16" s="68"/>
      <c r="T16" s="68"/>
      <c r="U16" s="68"/>
      <c r="V16" s="68"/>
      <c r="W16" s="68"/>
      <c r="X16" s="21"/>
      <c r="Y16" s="68"/>
      <c r="Z16" s="68"/>
      <c r="AA16" s="68"/>
      <c r="AB16" s="68"/>
      <c r="AC16" s="68"/>
      <c r="AD16" s="68"/>
      <c r="AE16" s="21"/>
      <c r="AF16" s="69"/>
      <c r="AG16" s="69"/>
      <c r="AH16" s="69"/>
      <c r="AI16" s="69"/>
      <c r="AJ16" s="69"/>
      <c r="AK16" s="21"/>
      <c r="AL16" s="69"/>
      <c r="AM16" s="69"/>
      <c r="AN16" s="69"/>
      <c r="AO16" s="69"/>
      <c r="AP16" s="69"/>
      <c r="AQ16" s="21"/>
      <c r="AR16" s="160" t="s">
        <v>268</v>
      </c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0"/>
    </row>
    <row r="17" spans="1:55" ht="16.5" customHeight="1">
      <c r="A17" s="21"/>
      <c r="B17" s="21"/>
      <c r="C17" s="11" t="s">
        <v>269</v>
      </c>
      <c r="D17" s="65"/>
      <c r="E17" s="65"/>
      <c r="F17" s="65"/>
      <c r="G17" s="65"/>
      <c r="H17" s="65"/>
      <c r="I17" s="65"/>
      <c r="J17" s="21"/>
      <c r="K17" s="65"/>
      <c r="L17" s="65"/>
      <c r="M17" s="65"/>
      <c r="N17" s="65"/>
      <c r="O17" s="65"/>
      <c r="P17" s="65"/>
      <c r="Q17" s="21"/>
      <c r="R17" s="65"/>
      <c r="S17" s="65"/>
      <c r="T17" s="65"/>
      <c r="U17" s="65"/>
      <c r="V17" s="65"/>
      <c r="W17" s="65"/>
      <c r="X17" s="21"/>
      <c r="Y17" s="65"/>
      <c r="Z17" s="65"/>
      <c r="AA17" s="65"/>
      <c r="AB17" s="65"/>
      <c r="AC17" s="65"/>
      <c r="AD17" s="65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61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</row>
    <row r="18" spans="1:55" ht="16.5" customHeight="1">
      <c r="A18" s="21"/>
      <c r="B18" s="21"/>
      <c r="C18" s="9" t="s">
        <v>270</v>
      </c>
      <c r="D18" s="67"/>
      <c r="E18" s="67"/>
      <c r="F18" s="67"/>
      <c r="G18" s="67"/>
      <c r="H18" s="67"/>
      <c r="I18" s="67"/>
      <c r="J18" s="21"/>
      <c r="K18" s="67"/>
      <c r="L18" s="67"/>
      <c r="M18" s="67"/>
      <c r="N18" s="67"/>
      <c r="O18" s="67"/>
      <c r="P18" s="67"/>
      <c r="Q18" s="21"/>
      <c r="R18" s="68" t="str">
        <f t="shared" ref="R18:R29" si="24">IFERROR(D18/D$31,"")</f>
        <v/>
      </c>
      <c r="S18" s="68" t="str">
        <f t="shared" ref="S18:S29" si="25">IFERROR(E18/E$31,"")</f>
        <v/>
      </c>
      <c r="T18" s="68" t="str">
        <f t="shared" ref="T18:T29" si="26">IFERROR(F18/F$31,"")</f>
        <v/>
      </c>
      <c r="U18" s="68" t="str">
        <f t="shared" ref="U18:U29" si="27">IFERROR(G18/G$31,"")</f>
        <v/>
      </c>
      <c r="V18" s="68" t="str">
        <f t="shared" ref="V18:V29" si="28">IFERROR(H18/H$31,"")</f>
        <v/>
      </c>
      <c r="W18" s="68" t="str">
        <f t="shared" ref="W18:W29" si="29">IFERROR(I18/I$31,"")</f>
        <v/>
      </c>
      <c r="X18" s="21"/>
      <c r="Y18" s="68" t="str">
        <f t="shared" ref="Y18:Y29" si="30">IFERROR(K18/K$31,"")</f>
        <v/>
      </c>
      <c r="Z18" s="68" t="str">
        <f t="shared" ref="Z18:Z29" si="31">IFERROR(L18/L$31,"")</f>
        <v/>
      </c>
      <c r="AA18" s="68" t="str">
        <f t="shared" ref="AA18:AA29" si="32">IFERROR(M18/M$31,"")</f>
        <v/>
      </c>
      <c r="AB18" s="68" t="str">
        <f t="shared" ref="AB18:AB29" si="33">IFERROR(N18/N$31,"")</f>
        <v/>
      </c>
      <c r="AC18" s="68" t="str">
        <f t="shared" ref="AC18:AC29" si="34">IFERROR(O18/O$31,"")</f>
        <v/>
      </c>
      <c r="AD18" s="68" t="str">
        <f t="shared" ref="AD18:AD29" si="35">IFERROR(P18/P$31,"")</f>
        <v/>
      </c>
      <c r="AE18" s="21"/>
      <c r="AF18" s="69" t="str">
        <f t="shared" ref="AF18:AF29" si="36">IF(OR(D18="",D18=0),"",IFERROR(E18/D18-1,""))</f>
        <v/>
      </c>
      <c r="AG18" s="69" t="str">
        <f t="shared" ref="AG18:AG29" si="37">IF(OR(E18="",E18=0),"",IFERROR(F18/E18-1,""))</f>
        <v/>
      </c>
      <c r="AH18" s="69" t="str">
        <f t="shared" ref="AH18:AH29" si="38">IF(OR(F18="",F18=0),"",IFERROR(G18/F18-1,""))</f>
        <v/>
      </c>
      <c r="AI18" s="69" t="str">
        <f t="shared" ref="AI18:AI29" si="39">IF(OR(G18="",G18=0),"",IFERROR(H18/G18-1,""))</f>
        <v/>
      </c>
      <c r="AJ18" s="69" t="str">
        <f t="shared" ref="AJ18:AJ29" si="40">IF(OR(H18="",H18=0),"",IFERROR(I18/H18-1,""))</f>
        <v/>
      </c>
      <c r="AK18" s="21"/>
      <c r="AL18" s="69" t="str">
        <f t="shared" ref="AL18:AL29" si="41">IF(OR(K18="",K18=0),"",IFERROR(L18/K18-1,""))</f>
        <v/>
      </c>
      <c r="AM18" s="69" t="str">
        <f t="shared" ref="AM18:AM29" si="42">IF(OR(L18="",L18=0),"",IFERROR(M18/L18-1,""))</f>
        <v/>
      </c>
      <c r="AN18" s="69" t="str">
        <f t="shared" ref="AN18:AN29" si="43">IF(OR(M18="",M18=0),"",IFERROR(N18/M18-1,""))</f>
        <v/>
      </c>
      <c r="AO18" s="69" t="str">
        <f t="shared" ref="AO18:AO29" si="44">IF(OR(N18="",N18=0),"",IFERROR(O18/N18-1,""))</f>
        <v/>
      </c>
      <c r="AP18" s="69" t="str">
        <f t="shared" ref="AP18:AP29" si="45">IF(OR(O18="",O18=0),"",IFERROR(P18/O18-1,""))</f>
        <v/>
      </c>
      <c r="AQ18" s="21"/>
      <c r="AR18" s="160" t="s">
        <v>271</v>
      </c>
      <c r="AS18" s="160"/>
      <c r="AT18" s="160"/>
      <c r="AU18" s="160"/>
      <c r="AV18" s="160"/>
      <c r="AW18" s="160"/>
      <c r="AX18" s="160"/>
      <c r="AY18" s="160"/>
      <c r="AZ18" s="160"/>
      <c r="BA18" s="160"/>
      <c r="BB18" s="160"/>
      <c r="BC18" s="160"/>
    </row>
    <row r="19" spans="1:55" ht="16.5" customHeight="1">
      <c r="A19" s="21"/>
      <c r="B19" s="21"/>
      <c r="C19" s="9" t="s">
        <v>272</v>
      </c>
      <c r="D19" s="67"/>
      <c r="E19" s="67"/>
      <c r="F19" s="67"/>
      <c r="G19" s="67"/>
      <c r="H19" s="67"/>
      <c r="I19" s="67"/>
      <c r="J19" s="21"/>
      <c r="K19" s="67"/>
      <c r="L19" s="67"/>
      <c r="M19" s="67"/>
      <c r="N19" s="67"/>
      <c r="O19" s="67"/>
      <c r="P19" s="67"/>
      <c r="Q19" s="21"/>
      <c r="R19" s="68" t="str">
        <f t="shared" si="24"/>
        <v/>
      </c>
      <c r="S19" s="68" t="str">
        <f t="shared" si="25"/>
        <v/>
      </c>
      <c r="T19" s="68" t="str">
        <f t="shared" si="26"/>
        <v/>
      </c>
      <c r="U19" s="68" t="str">
        <f t="shared" si="27"/>
        <v/>
      </c>
      <c r="V19" s="68" t="str">
        <f t="shared" si="28"/>
        <v/>
      </c>
      <c r="W19" s="68" t="str">
        <f t="shared" si="29"/>
        <v/>
      </c>
      <c r="X19" s="21"/>
      <c r="Y19" s="68" t="str">
        <f t="shared" si="30"/>
        <v/>
      </c>
      <c r="Z19" s="68" t="str">
        <f t="shared" si="31"/>
        <v/>
      </c>
      <c r="AA19" s="68" t="str">
        <f t="shared" si="32"/>
        <v/>
      </c>
      <c r="AB19" s="68" t="str">
        <f t="shared" si="33"/>
        <v/>
      </c>
      <c r="AC19" s="68" t="str">
        <f t="shared" si="34"/>
        <v/>
      </c>
      <c r="AD19" s="68" t="str">
        <f t="shared" si="35"/>
        <v/>
      </c>
      <c r="AE19" s="21"/>
      <c r="AF19" s="69" t="str">
        <f t="shared" si="36"/>
        <v/>
      </c>
      <c r="AG19" s="69" t="str">
        <f t="shared" si="37"/>
        <v/>
      </c>
      <c r="AH19" s="69" t="str">
        <f t="shared" si="38"/>
        <v/>
      </c>
      <c r="AI19" s="69" t="str">
        <f t="shared" si="39"/>
        <v/>
      </c>
      <c r="AJ19" s="69" t="str">
        <f t="shared" si="40"/>
        <v/>
      </c>
      <c r="AK19" s="21"/>
      <c r="AL19" s="69" t="str">
        <f t="shared" si="41"/>
        <v/>
      </c>
      <c r="AM19" s="69" t="str">
        <f t="shared" si="42"/>
        <v/>
      </c>
      <c r="AN19" s="69" t="str">
        <f t="shared" si="43"/>
        <v/>
      </c>
      <c r="AO19" s="69" t="str">
        <f t="shared" si="44"/>
        <v/>
      </c>
      <c r="AP19" s="69" t="str">
        <f t="shared" si="45"/>
        <v/>
      </c>
      <c r="AQ19" s="21"/>
      <c r="AR19" s="21"/>
    </row>
    <row r="20" spans="1:55" ht="16.5" customHeight="1">
      <c r="A20" s="21"/>
      <c r="B20" s="21"/>
      <c r="C20" s="9" t="s">
        <v>273</v>
      </c>
      <c r="D20" s="67"/>
      <c r="E20" s="67"/>
      <c r="F20" s="67"/>
      <c r="G20" s="67"/>
      <c r="H20" s="67"/>
      <c r="I20" s="67"/>
      <c r="J20" s="21"/>
      <c r="K20" s="67"/>
      <c r="L20" s="67"/>
      <c r="M20" s="67"/>
      <c r="N20" s="67"/>
      <c r="O20" s="67"/>
      <c r="P20" s="67"/>
      <c r="Q20" s="21"/>
      <c r="R20" s="68" t="str">
        <f t="shared" si="24"/>
        <v/>
      </c>
      <c r="S20" s="68" t="str">
        <f t="shared" si="25"/>
        <v/>
      </c>
      <c r="T20" s="68" t="str">
        <f t="shared" si="26"/>
        <v/>
      </c>
      <c r="U20" s="68" t="str">
        <f t="shared" si="27"/>
        <v/>
      </c>
      <c r="V20" s="68" t="str">
        <f t="shared" si="28"/>
        <v/>
      </c>
      <c r="W20" s="68" t="str">
        <f t="shared" si="29"/>
        <v/>
      </c>
      <c r="X20" s="21"/>
      <c r="Y20" s="68" t="str">
        <f t="shared" si="30"/>
        <v/>
      </c>
      <c r="Z20" s="68" t="str">
        <f t="shared" si="31"/>
        <v/>
      </c>
      <c r="AA20" s="68" t="str">
        <f t="shared" si="32"/>
        <v/>
      </c>
      <c r="AB20" s="68" t="str">
        <f t="shared" si="33"/>
        <v/>
      </c>
      <c r="AC20" s="68" t="str">
        <f t="shared" si="34"/>
        <v/>
      </c>
      <c r="AD20" s="68" t="str">
        <f t="shared" si="35"/>
        <v/>
      </c>
      <c r="AE20" s="21"/>
      <c r="AF20" s="69" t="str">
        <f t="shared" si="36"/>
        <v/>
      </c>
      <c r="AG20" s="69" t="str">
        <f t="shared" si="37"/>
        <v/>
      </c>
      <c r="AH20" s="69" t="str">
        <f t="shared" si="38"/>
        <v/>
      </c>
      <c r="AI20" s="69" t="str">
        <f t="shared" si="39"/>
        <v/>
      </c>
      <c r="AJ20" s="69" t="str">
        <f t="shared" si="40"/>
        <v/>
      </c>
      <c r="AK20" s="21"/>
      <c r="AL20" s="69" t="str">
        <f t="shared" si="41"/>
        <v/>
      </c>
      <c r="AM20" s="69" t="str">
        <f t="shared" si="42"/>
        <v/>
      </c>
      <c r="AN20" s="69" t="str">
        <f t="shared" si="43"/>
        <v/>
      </c>
      <c r="AO20" s="69" t="str">
        <f t="shared" si="44"/>
        <v/>
      </c>
      <c r="AP20" s="69" t="str">
        <f t="shared" si="45"/>
        <v/>
      </c>
      <c r="AQ20" s="21"/>
      <c r="AR20" s="21"/>
    </row>
    <row r="21" spans="1:55" ht="16.5" customHeight="1">
      <c r="A21" s="21"/>
      <c r="B21" s="21"/>
      <c r="C21" s="9" t="s">
        <v>274</v>
      </c>
      <c r="D21" s="67"/>
      <c r="E21" s="67"/>
      <c r="F21" s="67"/>
      <c r="G21" s="67"/>
      <c r="H21" s="67"/>
      <c r="I21" s="67"/>
      <c r="J21" s="21"/>
      <c r="K21" s="67"/>
      <c r="L21" s="67"/>
      <c r="M21" s="67"/>
      <c r="N21" s="67"/>
      <c r="O21" s="67"/>
      <c r="P21" s="67"/>
      <c r="Q21" s="21"/>
      <c r="R21" s="68" t="str">
        <f t="shared" si="24"/>
        <v/>
      </c>
      <c r="S21" s="68" t="str">
        <f t="shared" si="25"/>
        <v/>
      </c>
      <c r="T21" s="68" t="str">
        <f t="shared" si="26"/>
        <v/>
      </c>
      <c r="U21" s="68" t="str">
        <f t="shared" si="27"/>
        <v/>
      </c>
      <c r="V21" s="68" t="str">
        <f t="shared" si="28"/>
        <v/>
      </c>
      <c r="W21" s="68" t="str">
        <f t="shared" si="29"/>
        <v/>
      </c>
      <c r="X21" s="21"/>
      <c r="Y21" s="68" t="str">
        <f t="shared" si="30"/>
        <v/>
      </c>
      <c r="Z21" s="68" t="str">
        <f t="shared" si="31"/>
        <v/>
      </c>
      <c r="AA21" s="68" t="str">
        <f t="shared" si="32"/>
        <v/>
      </c>
      <c r="AB21" s="68" t="str">
        <f t="shared" si="33"/>
        <v/>
      </c>
      <c r="AC21" s="68" t="str">
        <f t="shared" si="34"/>
        <v/>
      </c>
      <c r="AD21" s="68" t="str">
        <f t="shared" si="35"/>
        <v/>
      </c>
      <c r="AE21" s="21"/>
      <c r="AF21" s="69" t="str">
        <f t="shared" si="36"/>
        <v/>
      </c>
      <c r="AG21" s="69" t="str">
        <f t="shared" si="37"/>
        <v/>
      </c>
      <c r="AH21" s="69" t="str">
        <f t="shared" si="38"/>
        <v/>
      </c>
      <c r="AI21" s="69" t="str">
        <f t="shared" si="39"/>
        <v/>
      </c>
      <c r="AJ21" s="69" t="str">
        <f t="shared" si="40"/>
        <v/>
      </c>
      <c r="AK21" s="21"/>
      <c r="AL21" s="69" t="str">
        <f t="shared" si="41"/>
        <v/>
      </c>
      <c r="AM21" s="69" t="str">
        <f t="shared" si="42"/>
        <v/>
      </c>
      <c r="AN21" s="69" t="str">
        <f t="shared" si="43"/>
        <v/>
      </c>
      <c r="AO21" s="69" t="str">
        <f t="shared" si="44"/>
        <v/>
      </c>
      <c r="AP21" s="69" t="str">
        <f t="shared" si="45"/>
        <v/>
      </c>
      <c r="AQ21" s="21"/>
      <c r="AR21" s="21"/>
    </row>
    <row r="22" spans="1:55" ht="16.5" customHeight="1">
      <c r="A22" s="21"/>
      <c r="B22" s="21"/>
      <c r="C22" s="9" t="s">
        <v>275</v>
      </c>
      <c r="D22" s="67"/>
      <c r="E22" s="67"/>
      <c r="F22" s="67"/>
      <c r="G22" s="67"/>
      <c r="H22" s="67"/>
      <c r="I22" s="67"/>
      <c r="J22" s="21"/>
      <c r="K22" s="67"/>
      <c r="L22" s="67"/>
      <c r="M22" s="67"/>
      <c r="N22" s="67"/>
      <c r="O22" s="67"/>
      <c r="P22" s="67"/>
      <c r="Q22" s="21"/>
      <c r="R22" s="68" t="str">
        <f t="shared" si="24"/>
        <v/>
      </c>
      <c r="S22" s="68" t="str">
        <f t="shared" si="25"/>
        <v/>
      </c>
      <c r="T22" s="68" t="str">
        <f t="shared" si="26"/>
        <v/>
      </c>
      <c r="U22" s="68" t="str">
        <f t="shared" si="27"/>
        <v/>
      </c>
      <c r="V22" s="68" t="str">
        <f t="shared" si="28"/>
        <v/>
      </c>
      <c r="W22" s="68" t="str">
        <f t="shared" si="29"/>
        <v/>
      </c>
      <c r="X22" s="21"/>
      <c r="Y22" s="68" t="str">
        <f t="shared" si="30"/>
        <v/>
      </c>
      <c r="Z22" s="68" t="str">
        <f t="shared" si="31"/>
        <v/>
      </c>
      <c r="AA22" s="68" t="str">
        <f t="shared" si="32"/>
        <v/>
      </c>
      <c r="AB22" s="68" t="str">
        <f t="shared" si="33"/>
        <v/>
      </c>
      <c r="AC22" s="68" t="str">
        <f t="shared" si="34"/>
        <v/>
      </c>
      <c r="AD22" s="68" t="str">
        <f t="shared" si="35"/>
        <v/>
      </c>
      <c r="AE22" s="21"/>
      <c r="AF22" s="69" t="str">
        <f t="shared" si="36"/>
        <v/>
      </c>
      <c r="AG22" s="69" t="str">
        <f t="shared" si="37"/>
        <v/>
      </c>
      <c r="AH22" s="69" t="str">
        <f t="shared" si="38"/>
        <v/>
      </c>
      <c r="AI22" s="69" t="str">
        <f t="shared" si="39"/>
        <v/>
      </c>
      <c r="AJ22" s="69" t="str">
        <f t="shared" si="40"/>
        <v/>
      </c>
      <c r="AK22" s="21"/>
      <c r="AL22" s="69" t="str">
        <f t="shared" si="41"/>
        <v/>
      </c>
      <c r="AM22" s="69" t="str">
        <f t="shared" si="42"/>
        <v/>
      </c>
      <c r="AN22" s="69" t="str">
        <f t="shared" si="43"/>
        <v/>
      </c>
      <c r="AO22" s="69" t="str">
        <f t="shared" si="44"/>
        <v/>
      </c>
      <c r="AP22" s="69" t="str">
        <f t="shared" si="45"/>
        <v/>
      </c>
      <c r="AQ22" s="21"/>
      <c r="AR22" s="21"/>
    </row>
    <row r="23" spans="1:55" ht="16.5" customHeight="1">
      <c r="A23" s="21"/>
      <c r="B23" s="21"/>
      <c r="C23" s="9" t="s">
        <v>276</v>
      </c>
      <c r="D23" s="67"/>
      <c r="E23" s="67"/>
      <c r="F23" s="67"/>
      <c r="G23" s="67"/>
      <c r="H23" s="67"/>
      <c r="I23" s="67"/>
      <c r="J23" s="21"/>
      <c r="K23" s="67"/>
      <c r="L23" s="67"/>
      <c r="M23" s="67"/>
      <c r="N23" s="67"/>
      <c r="O23" s="67"/>
      <c r="P23" s="67"/>
      <c r="Q23" s="21"/>
      <c r="R23" s="68" t="str">
        <f>IFERROR(D23/D$31,"")</f>
        <v/>
      </c>
      <c r="S23" s="68" t="str">
        <f t="shared" si="25"/>
        <v/>
      </c>
      <c r="T23" s="68" t="str">
        <f t="shared" si="26"/>
        <v/>
      </c>
      <c r="U23" s="68" t="str">
        <f t="shared" si="27"/>
        <v/>
      </c>
      <c r="V23" s="68" t="str">
        <f t="shared" si="28"/>
        <v/>
      </c>
      <c r="W23" s="68" t="str">
        <f t="shared" si="29"/>
        <v/>
      </c>
      <c r="X23" s="21"/>
      <c r="Y23" s="68" t="str">
        <f t="shared" si="30"/>
        <v/>
      </c>
      <c r="Z23" s="68" t="str">
        <f t="shared" si="31"/>
        <v/>
      </c>
      <c r="AA23" s="68" t="str">
        <f t="shared" si="32"/>
        <v/>
      </c>
      <c r="AB23" s="68" t="str">
        <f t="shared" si="33"/>
        <v/>
      </c>
      <c r="AC23" s="68" t="str">
        <f t="shared" si="34"/>
        <v/>
      </c>
      <c r="AD23" s="68" t="str">
        <f t="shared" si="35"/>
        <v/>
      </c>
      <c r="AE23" s="21"/>
      <c r="AF23" s="69" t="str">
        <f t="shared" si="36"/>
        <v/>
      </c>
      <c r="AG23" s="69" t="str">
        <f t="shared" si="37"/>
        <v/>
      </c>
      <c r="AH23" s="69" t="str">
        <f t="shared" si="38"/>
        <v/>
      </c>
      <c r="AI23" s="69" t="str">
        <f t="shared" si="39"/>
        <v/>
      </c>
      <c r="AJ23" s="69" t="str">
        <f t="shared" si="40"/>
        <v/>
      </c>
      <c r="AK23" s="21"/>
      <c r="AL23" s="69" t="str">
        <f t="shared" si="41"/>
        <v/>
      </c>
      <c r="AM23" s="69" t="str">
        <f t="shared" si="42"/>
        <v/>
      </c>
      <c r="AN23" s="69" t="str">
        <f t="shared" si="43"/>
        <v/>
      </c>
      <c r="AO23" s="69" t="str">
        <f t="shared" si="44"/>
        <v/>
      </c>
      <c r="AP23" s="69" t="str">
        <f t="shared" si="45"/>
        <v/>
      </c>
      <c r="AQ23" s="21"/>
      <c r="AR23" s="21"/>
    </row>
    <row r="24" spans="1:55" ht="16.5" customHeight="1">
      <c r="A24" s="21"/>
      <c r="B24" s="21"/>
      <c r="C24" s="9" t="s">
        <v>277</v>
      </c>
      <c r="D24" s="67"/>
      <c r="E24" s="67"/>
      <c r="F24" s="67"/>
      <c r="G24" s="67"/>
      <c r="H24" s="67"/>
      <c r="I24" s="67"/>
      <c r="J24" s="21"/>
      <c r="K24" s="67"/>
      <c r="L24" s="67"/>
      <c r="M24" s="67"/>
      <c r="N24" s="67"/>
      <c r="O24" s="67"/>
      <c r="P24" s="67"/>
      <c r="Q24" s="21"/>
      <c r="R24" s="68" t="str">
        <f t="shared" si="24"/>
        <v/>
      </c>
      <c r="S24" s="68" t="str">
        <f t="shared" si="25"/>
        <v/>
      </c>
      <c r="T24" s="68" t="str">
        <f t="shared" si="26"/>
        <v/>
      </c>
      <c r="U24" s="68" t="str">
        <f t="shared" si="27"/>
        <v/>
      </c>
      <c r="V24" s="68" t="str">
        <f t="shared" si="28"/>
        <v/>
      </c>
      <c r="W24" s="68" t="str">
        <f t="shared" si="29"/>
        <v/>
      </c>
      <c r="X24" s="21"/>
      <c r="Y24" s="68" t="str">
        <f t="shared" si="30"/>
        <v/>
      </c>
      <c r="Z24" s="68" t="str">
        <f t="shared" si="31"/>
        <v/>
      </c>
      <c r="AA24" s="68" t="str">
        <f t="shared" si="32"/>
        <v/>
      </c>
      <c r="AB24" s="68" t="str">
        <f t="shared" si="33"/>
        <v/>
      </c>
      <c r="AC24" s="68" t="str">
        <f t="shared" si="34"/>
        <v/>
      </c>
      <c r="AD24" s="68" t="str">
        <f t="shared" si="35"/>
        <v/>
      </c>
      <c r="AE24" s="21"/>
      <c r="AF24" s="69" t="str">
        <f t="shared" si="36"/>
        <v/>
      </c>
      <c r="AG24" s="69" t="str">
        <f t="shared" si="37"/>
        <v/>
      </c>
      <c r="AH24" s="69" t="str">
        <f t="shared" si="38"/>
        <v/>
      </c>
      <c r="AI24" s="69" t="str">
        <f t="shared" si="39"/>
        <v/>
      </c>
      <c r="AJ24" s="69" t="str">
        <f t="shared" si="40"/>
        <v/>
      </c>
      <c r="AK24" s="21"/>
      <c r="AL24" s="69" t="str">
        <f t="shared" si="41"/>
        <v/>
      </c>
      <c r="AM24" s="69" t="str">
        <f t="shared" si="42"/>
        <v/>
      </c>
      <c r="AN24" s="69" t="str">
        <f t="shared" si="43"/>
        <v/>
      </c>
      <c r="AO24" s="69" t="str">
        <f t="shared" si="44"/>
        <v/>
      </c>
      <c r="AP24" s="69" t="str">
        <f t="shared" si="45"/>
        <v/>
      </c>
      <c r="AQ24" s="21"/>
      <c r="AR24" s="21"/>
    </row>
    <row r="25" spans="1:55" ht="16.5" customHeight="1">
      <c r="A25" s="21"/>
      <c r="B25" s="21"/>
      <c r="C25" s="9" t="s">
        <v>278</v>
      </c>
      <c r="D25" s="67"/>
      <c r="E25" s="67"/>
      <c r="F25" s="67"/>
      <c r="G25" s="67"/>
      <c r="H25" s="67"/>
      <c r="I25" s="67"/>
      <c r="J25" s="21"/>
      <c r="K25" s="67"/>
      <c r="L25" s="67"/>
      <c r="M25" s="67"/>
      <c r="N25" s="67"/>
      <c r="O25" s="67"/>
      <c r="P25" s="67"/>
      <c r="Q25" s="21"/>
      <c r="R25" s="68" t="str">
        <f t="shared" si="24"/>
        <v/>
      </c>
      <c r="S25" s="68" t="str">
        <f t="shared" si="25"/>
        <v/>
      </c>
      <c r="T25" s="68" t="str">
        <f t="shared" si="26"/>
        <v/>
      </c>
      <c r="U25" s="68" t="str">
        <f t="shared" si="27"/>
        <v/>
      </c>
      <c r="V25" s="68" t="str">
        <f t="shared" si="28"/>
        <v/>
      </c>
      <c r="W25" s="68" t="str">
        <f t="shared" si="29"/>
        <v/>
      </c>
      <c r="X25" s="21"/>
      <c r="Y25" s="68" t="str">
        <f t="shared" si="30"/>
        <v/>
      </c>
      <c r="Z25" s="68" t="str">
        <f t="shared" si="31"/>
        <v/>
      </c>
      <c r="AA25" s="68" t="str">
        <f t="shared" si="32"/>
        <v/>
      </c>
      <c r="AB25" s="68" t="str">
        <f t="shared" si="33"/>
        <v/>
      </c>
      <c r="AC25" s="68" t="str">
        <f t="shared" si="34"/>
        <v/>
      </c>
      <c r="AD25" s="68" t="str">
        <f t="shared" si="35"/>
        <v/>
      </c>
      <c r="AE25" s="21"/>
      <c r="AF25" s="69" t="str">
        <f t="shared" si="36"/>
        <v/>
      </c>
      <c r="AG25" s="69" t="str">
        <f t="shared" si="37"/>
        <v/>
      </c>
      <c r="AH25" s="69" t="str">
        <f t="shared" si="38"/>
        <v/>
      </c>
      <c r="AI25" s="69" t="str">
        <f t="shared" si="39"/>
        <v/>
      </c>
      <c r="AJ25" s="69" t="str">
        <f t="shared" si="40"/>
        <v/>
      </c>
      <c r="AK25" s="21"/>
      <c r="AL25" s="69" t="str">
        <f t="shared" si="41"/>
        <v/>
      </c>
      <c r="AM25" s="69" t="str">
        <f t="shared" si="42"/>
        <v/>
      </c>
      <c r="AN25" s="69" t="str">
        <f t="shared" si="43"/>
        <v/>
      </c>
      <c r="AO25" s="69" t="str">
        <f t="shared" si="44"/>
        <v/>
      </c>
      <c r="AP25" s="69" t="str">
        <f t="shared" si="45"/>
        <v/>
      </c>
      <c r="AQ25" s="21"/>
      <c r="AR25" s="21"/>
    </row>
    <row r="26" spans="1:55" ht="16.5" customHeight="1">
      <c r="A26" s="21"/>
      <c r="B26" s="21"/>
      <c r="C26" s="9" t="s">
        <v>279</v>
      </c>
      <c r="D26" s="67"/>
      <c r="E26" s="67"/>
      <c r="F26" s="67"/>
      <c r="G26" s="67"/>
      <c r="H26" s="67"/>
      <c r="I26" s="67"/>
      <c r="J26" s="21"/>
      <c r="K26" s="67"/>
      <c r="L26" s="67"/>
      <c r="M26" s="67"/>
      <c r="N26" s="67"/>
      <c r="O26" s="67"/>
      <c r="P26" s="67"/>
      <c r="Q26" s="21"/>
      <c r="R26" s="68" t="str">
        <f t="shared" si="24"/>
        <v/>
      </c>
      <c r="S26" s="68" t="str">
        <f t="shared" si="25"/>
        <v/>
      </c>
      <c r="T26" s="68" t="str">
        <f t="shared" si="26"/>
        <v/>
      </c>
      <c r="U26" s="68" t="str">
        <f t="shared" si="27"/>
        <v/>
      </c>
      <c r="V26" s="68" t="str">
        <f t="shared" si="28"/>
        <v/>
      </c>
      <c r="W26" s="68" t="str">
        <f t="shared" si="29"/>
        <v/>
      </c>
      <c r="X26" s="21"/>
      <c r="Y26" s="68" t="str">
        <f t="shared" si="30"/>
        <v/>
      </c>
      <c r="Z26" s="68" t="str">
        <f t="shared" si="31"/>
        <v/>
      </c>
      <c r="AA26" s="68" t="str">
        <f t="shared" si="32"/>
        <v/>
      </c>
      <c r="AB26" s="68" t="str">
        <f t="shared" si="33"/>
        <v/>
      </c>
      <c r="AC26" s="68" t="str">
        <f t="shared" si="34"/>
        <v/>
      </c>
      <c r="AD26" s="68" t="str">
        <f t="shared" si="35"/>
        <v/>
      </c>
      <c r="AE26" s="21"/>
      <c r="AF26" s="69" t="str">
        <f t="shared" si="36"/>
        <v/>
      </c>
      <c r="AG26" s="69" t="str">
        <f t="shared" si="37"/>
        <v/>
      </c>
      <c r="AH26" s="69" t="str">
        <f t="shared" si="38"/>
        <v/>
      </c>
      <c r="AI26" s="69" t="str">
        <f t="shared" si="39"/>
        <v/>
      </c>
      <c r="AJ26" s="69" t="str">
        <f t="shared" si="40"/>
        <v/>
      </c>
      <c r="AK26" s="21"/>
      <c r="AL26" s="69" t="str">
        <f t="shared" si="41"/>
        <v/>
      </c>
      <c r="AM26" s="69" t="str">
        <f t="shared" si="42"/>
        <v/>
      </c>
      <c r="AN26" s="69" t="str">
        <f t="shared" si="43"/>
        <v/>
      </c>
      <c r="AO26" s="69" t="str">
        <f t="shared" si="44"/>
        <v/>
      </c>
      <c r="AP26" s="69" t="str">
        <f t="shared" si="45"/>
        <v/>
      </c>
      <c r="AQ26" s="21"/>
      <c r="AR26" s="21"/>
    </row>
    <row r="27" spans="1:55" ht="16.5" customHeight="1">
      <c r="A27" s="21"/>
      <c r="B27" s="21"/>
      <c r="C27" s="9" t="s">
        <v>280</v>
      </c>
      <c r="D27" s="67"/>
      <c r="E27" s="67"/>
      <c r="F27" s="67"/>
      <c r="G27" s="67"/>
      <c r="H27" s="67"/>
      <c r="I27" s="67"/>
      <c r="J27" s="21"/>
      <c r="K27" s="67"/>
      <c r="L27" s="67"/>
      <c r="M27" s="67"/>
      <c r="N27" s="67"/>
      <c r="O27" s="67"/>
      <c r="P27" s="67"/>
      <c r="Q27" s="21"/>
      <c r="R27" s="68" t="str">
        <f t="shared" si="24"/>
        <v/>
      </c>
      <c r="S27" s="68" t="str">
        <f t="shared" si="25"/>
        <v/>
      </c>
      <c r="T27" s="68" t="str">
        <f t="shared" si="26"/>
        <v/>
      </c>
      <c r="U27" s="68" t="str">
        <f t="shared" si="27"/>
        <v/>
      </c>
      <c r="V27" s="68" t="str">
        <f t="shared" si="28"/>
        <v/>
      </c>
      <c r="W27" s="68" t="str">
        <f t="shared" si="29"/>
        <v/>
      </c>
      <c r="X27" s="21"/>
      <c r="Y27" s="68" t="str">
        <f t="shared" si="30"/>
        <v/>
      </c>
      <c r="Z27" s="68" t="str">
        <f t="shared" si="31"/>
        <v/>
      </c>
      <c r="AA27" s="68" t="str">
        <f t="shared" si="32"/>
        <v/>
      </c>
      <c r="AB27" s="68" t="str">
        <f t="shared" si="33"/>
        <v/>
      </c>
      <c r="AC27" s="68" t="str">
        <f t="shared" si="34"/>
        <v/>
      </c>
      <c r="AD27" s="68" t="str">
        <f t="shared" si="35"/>
        <v/>
      </c>
      <c r="AE27" s="21"/>
      <c r="AF27" s="69" t="str">
        <f t="shared" si="36"/>
        <v/>
      </c>
      <c r="AG27" s="69" t="str">
        <f t="shared" si="37"/>
        <v/>
      </c>
      <c r="AH27" s="69" t="str">
        <f t="shared" si="38"/>
        <v/>
      </c>
      <c r="AI27" s="69" t="str">
        <f t="shared" si="39"/>
        <v/>
      </c>
      <c r="AJ27" s="69" t="str">
        <f t="shared" si="40"/>
        <v/>
      </c>
      <c r="AK27" s="21"/>
      <c r="AL27" s="69" t="str">
        <f t="shared" si="41"/>
        <v/>
      </c>
      <c r="AM27" s="69" t="str">
        <f t="shared" si="42"/>
        <v/>
      </c>
      <c r="AN27" s="69" t="str">
        <f t="shared" si="43"/>
        <v/>
      </c>
      <c r="AO27" s="69" t="str">
        <f t="shared" si="44"/>
        <v/>
      </c>
      <c r="AP27" s="69" t="str">
        <f t="shared" si="45"/>
        <v/>
      </c>
      <c r="AQ27" s="21"/>
      <c r="AR27" s="21"/>
    </row>
    <row r="28" spans="1:55" ht="16.5" customHeight="1">
      <c r="A28" s="21"/>
      <c r="B28" s="21"/>
      <c r="C28" s="9" t="s">
        <v>281</v>
      </c>
      <c r="D28" s="67"/>
      <c r="E28" s="67"/>
      <c r="F28" s="67"/>
      <c r="G28" s="67"/>
      <c r="H28" s="67"/>
      <c r="I28" s="67"/>
      <c r="J28" s="21"/>
      <c r="K28" s="67"/>
      <c r="L28" s="67"/>
      <c r="M28" s="67"/>
      <c r="N28" s="67"/>
      <c r="O28" s="67"/>
      <c r="P28" s="67"/>
      <c r="Q28" s="21"/>
      <c r="R28" s="68" t="str">
        <f t="shared" si="24"/>
        <v/>
      </c>
      <c r="S28" s="68" t="str">
        <f t="shared" si="25"/>
        <v/>
      </c>
      <c r="T28" s="68" t="str">
        <f t="shared" si="26"/>
        <v/>
      </c>
      <c r="U28" s="68" t="str">
        <f t="shared" si="27"/>
        <v/>
      </c>
      <c r="V28" s="68" t="str">
        <f t="shared" si="28"/>
        <v/>
      </c>
      <c r="W28" s="68" t="str">
        <f t="shared" si="29"/>
        <v/>
      </c>
      <c r="X28" s="21"/>
      <c r="Y28" s="68" t="str">
        <f t="shared" si="30"/>
        <v/>
      </c>
      <c r="Z28" s="68" t="str">
        <f t="shared" si="31"/>
        <v/>
      </c>
      <c r="AA28" s="68" t="str">
        <f t="shared" si="32"/>
        <v/>
      </c>
      <c r="AB28" s="68" t="str">
        <f t="shared" si="33"/>
        <v/>
      </c>
      <c r="AC28" s="68" t="str">
        <f t="shared" si="34"/>
        <v/>
      </c>
      <c r="AD28" s="68" t="str">
        <f t="shared" si="35"/>
        <v/>
      </c>
      <c r="AE28" s="21"/>
      <c r="AF28" s="69" t="str">
        <f t="shared" si="36"/>
        <v/>
      </c>
      <c r="AG28" s="69" t="str">
        <f t="shared" si="37"/>
        <v/>
      </c>
      <c r="AH28" s="69" t="str">
        <f t="shared" si="38"/>
        <v/>
      </c>
      <c r="AI28" s="69" t="str">
        <f t="shared" si="39"/>
        <v/>
      </c>
      <c r="AJ28" s="69" t="str">
        <f t="shared" si="40"/>
        <v/>
      </c>
      <c r="AK28" s="21"/>
      <c r="AL28" s="69" t="str">
        <f t="shared" si="41"/>
        <v/>
      </c>
      <c r="AM28" s="69" t="str">
        <f t="shared" si="42"/>
        <v/>
      </c>
      <c r="AN28" s="69" t="str">
        <f t="shared" si="43"/>
        <v/>
      </c>
      <c r="AO28" s="69" t="str">
        <f t="shared" si="44"/>
        <v/>
      </c>
      <c r="AP28" s="69" t="str">
        <f t="shared" si="45"/>
        <v/>
      </c>
      <c r="AQ28" s="21"/>
      <c r="AR28" s="21"/>
    </row>
    <row r="29" spans="1:55" ht="16.5" customHeight="1">
      <c r="A29" s="21"/>
      <c r="B29" s="21"/>
      <c r="C29" s="9" t="s">
        <v>282</v>
      </c>
      <c r="D29" s="67"/>
      <c r="E29" s="67"/>
      <c r="F29" s="67"/>
      <c r="G29" s="67"/>
      <c r="H29" s="67"/>
      <c r="I29" s="67"/>
      <c r="J29" s="21"/>
      <c r="K29" s="67"/>
      <c r="L29" s="67"/>
      <c r="M29" s="67"/>
      <c r="N29" s="67"/>
      <c r="O29" s="67"/>
      <c r="P29" s="67"/>
      <c r="Q29" s="21"/>
      <c r="R29" s="68" t="str">
        <f t="shared" si="24"/>
        <v/>
      </c>
      <c r="S29" s="68" t="str">
        <f t="shared" si="25"/>
        <v/>
      </c>
      <c r="T29" s="68" t="str">
        <f t="shared" si="26"/>
        <v/>
      </c>
      <c r="U29" s="68" t="str">
        <f t="shared" si="27"/>
        <v/>
      </c>
      <c r="V29" s="68" t="str">
        <f t="shared" si="28"/>
        <v/>
      </c>
      <c r="W29" s="68" t="str">
        <f t="shared" si="29"/>
        <v/>
      </c>
      <c r="X29" s="21"/>
      <c r="Y29" s="68" t="str">
        <f t="shared" si="30"/>
        <v/>
      </c>
      <c r="Z29" s="68" t="str">
        <f t="shared" si="31"/>
        <v/>
      </c>
      <c r="AA29" s="68" t="str">
        <f t="shared" si="32"/>
        <v/>
      </c>
      <c r="AB29" s="68" t="str">
        <f t="shared" si="33"/>
        <v/>
      </c>
      <c r="AC29" s="68" t="str">
        <f t="shared" si="34"/>
        <v/>
      </c>
      <c r="AD29" s="68" t="str">
        <f t="shared" si="35"/>
        <v/>
      </c>
      <c r="AE29" s="21"/>
      <c r="AF29" s="69" t="str">
        <f t="shared" si="36"/>
        <v/>
      </c>
      <c r="AG29" s="69" t="str">
        <f t="shared" si="37"/>
        <v/>
      </c>
      <c r="AH29" s="69" t="str">
        <f t="shared" si="38"/>
        <v/>
      </c>
      <c r="AI29" s="69" t="str">
        <f t="shared" si="39"/>
        <v/>
      </c>
      <c r="AJ29" s="69" t="str">
        <f t="shared" si="40"/>
        <v/>
      </c>
      <c r="AK29" s="21"/>
      <c r="AL29" s="69" t="str">
        <f t="shared" si="41"/>
        <v/>
      </c>
      <c r="AM29" s="69" t="str">
        <f t="shared" si="42"/>
        <v/>
      </c>
      <c r="AN29" s="69" t="str">
        <f t="shared" si="43"/>
        <v/>
      </c>
      <c r="AO29" s="69" t="str">
        <f t="shared" si="44"/>
        <v/>
      </c>
      <c r="AP29" s="69" t="str">
        <f t="shared" si="45"/>
        <v/>
      </c>
      <c r="AQ29" s="21"/>
      <c r="AR29" s="21"/>
    </row>
    <row r="30" spans="1:55" ht="15.75" customHeight="1">
      <c r="A30" s="21"/>
      <c r="B30" s="21"/>
      <c r="C30" s="70" t="s">
        <v>283</v>
      </c>
      <c r="D30" s="71">
        <f t="shared" ref="D30:I30" si="46">SUM(D18:D29)</f>
        <v>0</v>
      </c>
      <c r="E30" s="71">
        <f t="shared" si="46"/>
        <v>0</v>
      </c>
      <c r="F30" s="71">
        <f t="shared" si="46"/>
        <v>0</v>
      </c>
      <c r="G30" s="71">
        <f t="shared" si="46"/>
        <v>0</v>
      </c>
      <c r="H30" s="71">
        <f t="shared" si="46"/>
        <v>0</v>
      </c>
      <c r="I30" s="71">
        <f t="shared" si="46"/>
        <v>0</v>
      </c>
      <c r="J30" s="21"/>
      <c r="K30" s="71">
        <f t="shared" ref="K30:P30" si="47">SUM(K18:K29)</f>
        <v>0</v>
      </c>
      <c r="L30" s="71">
        <f t="shared" si="47"/>
        <v>0</v>
      </c>
      <c r="M30" s="71">
        <f t="shared" si="47"/>
        <v>0</v>
      </c>
      <c r="N30" s="71">
        <f t="shared" si="47"/>
        <v>0</v>
      </c>
      <c r="O30" s="71">
        <f t="shared" si="47"/>
        <v>0</v>
      </c>
      <c r="P30" s="71">
        <f t="shared" si="47"/>
        <v>0</v>
      </c>
      <c r="Q30" s="21"/>
      <c r="R30" s="68"/>
      <c r="S30" s="68"/>
      <c r="T30" s="68"/>
      <c r="U30" s="68"/>
      <c r="V30" s="68"/>
      <c r="W30" s="68"/>
      <c r="X30" s="21"/>
      <c r="Y30" s="68"/>
      <c r="Z30" s="68"/>
      <c r="AA30" s="68"/>
      <c r="AB30" s="68"/>
      <c r="AC30" s="68"/>
      <c r="AD30" s="68"/>
      <c r="AE30" s="21"/>
      <c r="AF30" s="69"/>
      <c r="AG30" s="69"/>
      <c r="AH30" s="69"/>
      <c r="AI30" s="69"/>
      <c r="AJ30" s="69"/>
      <c r="AK30" s="21"/>
      <c r="AL30" s="69"/>
      <c r="AM30" s="69"/>
      <c r="AN30" s="69"/>
      <c r="AO30" s="69"/>
      <c r="AP30" s="69"/>
      <c r="AQ30" s="21"/>
      <c r="AR30" s="21"/>
    </row>
    <row r="31" spans="1:55" ht="15.75" customHeight="1">
      <c r="A31" s="21"/>
      <c r="B31" s="21"/>
      <c r="C31" s="70" t="s">
        <v>284</v>
      </c>
      <c r="D31" s="71">
        <f t="shared" ref="D31:I31" si="48">D16+D30</f>
        <v>0</v>
      </c>
      <c r="E31" s="71">
        <f t="shared" si="48"/>
        <v>0</v>
      </c>
      <c r="F31" s="71">
        <f t="shared" si="48"/>
        <v>0</v>
      </c>
      <c r="G31" s="71">
        <f t="shared" si="48"/>
        <v>0</v>
      </c>
      <c r="H31" s="71">
        <f t="shared" si="48"/>
        <v>0</v>
      </c>
      <c r="I31" s="71">
        <f t="shared" si="48"/>
        <v>0</v>
      </c>
      <c r="J31" s="21"/>
      <c r="K31" s="71">
        <f t="shared" ref="K31:P31" si="49">K16+K30</f>
        <v>0</v>
      </c>
      <c r="L31" s="71">
        <f t="shared" si="49"/>
        <v>0</v>
      </c>
      <c r="M31" s="71">
        <f t="shared" si="49"/>
        <v>0</v>
      </c>
      <c r="N31" s="71">
        <f t="shared" si="49"/>
        <v>0</v>
      </c>
      <c r="O31" s="71">
        <f t="shared" si="49"/>
        <v>0</v>
      </c>
      <c r="P31" s="71">
        <f t="shared" si="49"/>
        <v>0</v>
      </c>
      <c r="Q31" s="21"/>
      <c r="R31" s="68"/>
      <c r="S31" s="68"/>
      <c r="T31" s="68"/>
      <c r="U31" s="68"/>
      <c r="V31" s="68"/>
      <c r="W31" s="68"/>
      <c r="X31" s="21"/>
      <c r="Y31" s="68"/>
      <c r="Z31" s="68"/>
      <c r="AA31" s="68"/>
      <c r="AB31" s="68"/>
      <c r="AC31" s="68"/>
      <c r="AD31" s="68"/>
      <c r="AE31" s="21"/>
      <c r="AF31" s="69"/>
      <c r="AG31" s="69"/>
      <c r="AH31" s="69"/>
      <c r="AI31" s="69"/>
      <c r="AJ31" s="69"/>
      <c r="AK31" s="21"/>
      <c r="AL31" s="69"/>
      <c r="AM31" s="69"/>
      <c r="AN31" s="69"/>
      <c r="AO31" s="69"/>
      <c r="AP31" s="69"/>
      <c r="AQ31" s="21"/>
      <c r="AR31" s="21"/>
    </row>
    <row r="32" spans="1:55" ht="15.75" customHeight="1">
      <c r="A32" s="21"/>
      <c r="B32" s="21"/>
      <c r="C32" s="11" t="s">
        <v>285</v>
      </c>
      <c r="D32" s="65"/>
      <c r="E32" s="65"/>
      <c r="F32" s="65"/>
      <c r="G32" s="65"/>
      <c r="H32" s="65"/>
      <c r="I32" s="65"/>
      <c r="J32" s="21"/>
      <c r="K32" s="65"/>
      <c r="L32" s="65"/>
      <c r="M32" s="65"/>
      <c r="N32" s="65"/>
      <c r="O32" s="65"/>
      <c r="P32" s="65"/>
      <c r="Q32" s="21"/>
      <c r="R32" s="65"/>
      <c r="S32" s="65"/>
      <c r="T32" s="65"/>
      <c r="U32" s="65"/>
      <c r="V32" s="65"/>
      <c r="W32" s="65"/>
      <c r="X32" s="21"/>
      <c r="Y32" s="65"/>
      <c r="Z32" s="65"/>
      <c r="AA32" s="65"/>
      <c r="AB32" s="65"/>
      <c r="AC32" s="65"/>
      <c r="AD32" s="65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</row>
    <row r="33" spans="1:44" ht="15.75" customHeight="1">
      <c r="A33" s="21"/>
      <c r="B33" s="21"/>
      <c r="C33" s="9" t="s">
        <v>286</v>
      </c>
      <c r="D33" s="67"/>
      <c r="E33" s="67"/>
      <c r="F33" s="67"/>
      <c r="G33" s="67"/>
      <c r="H33" s="67"/>
      <c r="I33" s="67"/>
      <c r="J33" s="21"/>
      <c r="K33" s="67"/>
      <c r="L33" s="67"/>
      <c r="M33" s="67"/>
      <c r="N33" s="67"/>
      <c r="O33" s="67"/>
      <c r="P33" s="67"/>
      <c r="Q33" s="21"/>
      <c r="R33" s="68" t="str">
        <f t="shared" ref="R33:R42" si="50">IFERROR(D33/D$31,"")</f>
        <v/>
      </c>
      <c r="S33" s="68" t="str">
        <f t="shared" ref="S33:S42" si="51">IFERROR(E33/E$31,"")</f>
        <v/>
      </c>
      <c r="T33" s="68" t="str">
        <f t="shared" ref="T33:T42" si="52">IFERROR(F33/F$31,"")</f>
        <v/>
      </c>
      <c r="U33" s="68" t="str">
        <f t="shared" ref="U33:U42" si="53">IFERROR(G33/G$31,"")</f>
        <v/>
      </c>
      <c r="V33" s="68" t="str">
        <f t="shared" ref="V33:V42" si="54">IFERROR(H33/H$31,"")</f>
        <v/>
      </c>
      <c r="W33" s="68" t="str">
        <f t="shared" ref="W33:W42" si="55">IFERROR(I33/I$31,"")</f>
        <v/>
      </c>
      <c r="X33" s="21"/>
      <c r="Y33" s="68" t="str">
        <f t="shared" ref="Y33:Y42" si="56">IFERROR(K33/K$31,"")</f>
        <v/>
      </c>
      <c r="Z33" s="68" t="str">
        <f t="shared" ref="Z33:Z42" si="57">IFERROR(L33/L$31,"")</f>
        <v/>
      </c>
      <c r="AA33" s="68" t="str">
        <f t="shared" ref="AA33:AA42" si="58">IFERROR(M33/M$31,"")</f>
        <v/>
      </c>
      <c r="AB33" s="68" t="str">
        <f t="shared" ref="AB33:AB42" si="59">IFERROR(N33/N$31,"")</f>
        <v/>
      </c>
      <c r="AC33" s="68" t="str">
        <f t="shared" ref="AC33:AC42" si="60">IFERROR(O33/O$31,"")</f>
        <v/>
      </c>
      <c r="AD33" s="68" t="str">
        <f t="shared" ref="AD33:AD42" si="61">IFERROR(P33/P$31,"")</f>
        <v/>
      </c>
      <c r="AE33" s="21"/>
      <c r="AF33" s="69" t="str">
        <f t="shared" ref="AF33:AF42" si="62">IF(OR(D33="",D33=0),"",IFERROR(E33/D33-1,""))</f>
        <v/>
      </c>
      <c r="AG33" s="69" t="str">
        <f t="shared" ref="AG33:AG42" si="63">IF(OR(E33="",E33=0),"",IFERROR(F33/E33-1,""))</f>
        <v/>
      </c>
      <c r="AH33" s="69" t="str">
        <f t="shared" ref="AH33:AH42" si="64">IF(OR(F33="",F33=0),"",IFERROR(G33/F33-1,""))</f>
        <v/>
      </c>
      <c r="AI33" s="69" t="str">
        <f t="shared" ref="AI33:AI42" si="65">IF(OR(G33="",G33=0),"",IFERROR(H33/G33-1,""))</f>
        <v/>
      </c>
      <c r="AJ33" s="69" t="str">
        <f t="shared" ref="AJ33:AJ42" si="66">IF(OR(H33="",H33=0),"",IFERROR(I33/H33-1,""))</f>
        <v/>
      </c>
      <c r="AK33" s="21"/>
      <c r="AL33" s="69" t="str">
        <f t="shared" ref="AL33:AL42" si="67">IF(OR(K33="",K33=0),"",IFERROR(L33/K33-1,""))</f>
        <v/>
      </c>
      <c r="AM33" s="69" t="str">
        <f t="shared" ref="AM33:AM42" si="68">IF(OR(L33="",L33=0),"",IFERROR(M33/L33-1,""))</f>
        <v/>
      </c>
      <c r="AN33" s="69" t="str">
        <f t="shared" ref="AN33:AN42" si="69">IF(OR(M33="",M33=0),"",IFERROR(N33/M33-1,""))</f>
        <v/>
      </c>
      <c r="AO33" s="69" t="str">
        <f t="shared" ref="AO33:AO42" si="70">IF(OR(N33="",N33=0),"",IFERROR(O33/N33-1,""))</f>
        <v/>
      </c>
      <c r="AP33" s="69" t="str">
        <f t="shared" ref="AP33:AP42" si="71">IF(OR(O33="",O33=0),"",IFERROR(P33/O33-1,""))</f>
        <v/>
      </c>
      <c r="AQ33" s="21"/>
      <c r="AR33" s="21"/>
    </row>
    <row r="34" spans="1:44" ht="15.75" customHeight="1">
      <c r="A34" s="21"/>
      <c r="B34" s="21"/>
      <c r="C34" s="9" t="s">
        <v>287</v>
      </c>
      <c r="D34" s="67"/>
      <c r="E34" s="67"/>
      <c r="F34" s="67"/>
      <c r="G34" s="67"/>
      <c r="H34" s="67"/>
      <c r="I34" s="67"/>
      <c r="J34" s="21"/>
      <c r="K34" s="67"/>
      <c r="L34" s="67"/>
      <c r="M34" s="67"/>
      <c r="N34" s="67"/>
      <c r="O34" s="67"/>
      <c r="P34" s="67"/>
      <c r="Q34" s="21"/>
      <c r="R34" s="68" t="str">
        <f t="shared" si="50"/>
        <v/>
      </c>
      <c r="S34" s="68" t="str">
        <f t="shared" si="51"/>
        <v/>
      </c>
      <c r="T34" s="68" t="str">
        <f t="shared" si="52"/>
        <v/>
      </c>
      <c r="U34" s="68" t="str">
        <f t="shared" si="53"/>
        <v/>
      </c>
      <c r="V34" s="68" t="str">
        <f t="shared" si="54"/>
        <v/>
      </c>
      <c r="W34" s="68" t="str">
        <f t="shared" si="55"/>
        <v/>
      </c>
      <c r="X34" s="21"/>
      <c r="Y34" s="68" t="str">
        <f t="shared" si="56"/>
        <v/>
      </c>
      <c r="Z34" s="68" t="str">
        <f t="shared" si="57"/>
        <v/>
      </c>
      <c r="AA34" s="68" t="str">
        <f t="shared" si="58"/>
        <v/>
      </c>
      <c r="AB34" s="68" t="str">
        <f t="shared" si="59"/>
        <v/>
      </c>
      <c r="AC34" s="68" t="str">
        <f t="shared" si="60"/>
        <v/>
      </c>
      <c r="AD34" s="68" t="str">
        <f t="shared" si="61"/>
        <v/>
      </c>
      <c r="AE34" s="21"/>
      <c r="AF34" s="69" t="str">
        <f t="shared" si="62"/>
        <v/>
      </c>
      <c r="AG34" s="69" t="str">
        <f t="shared" si="63"/>
        <v/>
      </c>
      <c r="AH34" s="69" t="str">
        <f t="shared" si="64"/>
        <v/>
      </c>
      <c r="AI34" s="69" t="str">
        <f t="shared" si="65"/>
        <v/>
      </c>
      <c r="AJ34" s="69" t="str">
        <f t="shared" si="66"/>
        <v/>
      </c>
      <c r="AK34" s="21"/>
      <c r="AL34" s="69" t="str">
        <f t="shared" si="67"/>
        <v/>
      </c>
      <c r="AM34" s="69" t="str">
        <f t="shared" si="68"/>
        <v/>
      </c>
      <c r="AN34" s="69" t="str">
        <f t="shared" si="69"/>
        <v/>
      </c>
      <c r="AO34" s="69" t="str">
        <f t="shared" si="70"/>
        <v/>
      </c>
      <c r="AP34" s="69" t="str">
        <f t="shared" si="71"/>
        <v/>
      </c>
      <c r="AQ34" s="21"/>
      <c r="AR34" s="21"/>
    </row>
    <row r="35" spans="1:44" ht="15.75" customHeight="1">
      <c r="A35" s="21"/>
      <c r="B35" s="21"/>
      <c r="C35" s="9" t="s">
        <v>288</v>
      </c>
      <c r="D35" s="67"/>
      <c r="E35" s="67"/>
      <c r="F35" s="67"/>
      <c r="G35" s="67"/>
      <c r="H35" s="67"/>
      <c r="I35" s="67"/>
      <c r="J35" s="21"/>
      <c r="K35" s="67"/>
      <c r="L35" s="67"/>
      <c r="M35" s="67"/>
      <c r="N35" s="67"/>
      <c r="O35" s="67"/>
      <c r="P35" s="67"/>
      <c r="Q35" s="21"/>
      <c r="R35" s="68" t="str">
        <f t="shared" si="50"/>
        <v/>
      </c>
      <c r="S35" s="68" t="str">
        <f t="shared" si="51"/>
        <v/>
      </c>
      <c r="T35" s="68" t="str">
        <f t="shared" si="52"/>
        <v/>
      </c>
      <c r="U35" s="68" t="str">
        <f t="shared" si="53"/>
        <v/>
      </c>
      <c r="V35" s="68" t="str">
        <f t="shared" si="54"/>
        <v/>
      </c>
      <c r="W35" s="68" t="str">
        <f t="shared" si="55"/>
        <v/>
      </c>
      <c r="X35" s="21"/>
      <c r="Y35" s="68" t="str">
        <f t="shared" si="56"/>
        <v/>
      </c>
      <c r="Z35" s="68" t="str">
        <f t="shared" si="57"/>
        <v/>
      </c>
      <c r="AA35" s="68" t="str">
        <f t="shared" si="58"/>
        <v/>
      </c>
      <c r="AB35" s="68" t="str">
        <f t="shared" si="59"/>
        <v/>
      </c>
      <c r="AC35" s="68" t="str">
        <f t="shared" si="60"/>
        <v/>
      </c>
      <c r="AD35" s="68" t="str">
        <f t="shared" si="61"/>
        <v/>
      </c>
      <c r="AE35" s="21"/>
      <c r="AF35" s="69" t="str">
        <f t="shared" si="62"/>
        <v/>
      </c>
      <c r="AG35" s="69" t="str">
        <f t="shared" si="63"/>
        <v/>
      </c>
      <c r="AH35" s="69" t="str">
        <f t="shared" si="64"/>
        <v/>
      </c>
      <c r="AI35" s="69" t="str">
        <f t="shared" si="65"/>
        <v/>
      </c>
      <c r="AJ35" s="69" t="str">
        <f t="shared" si="66"/>
        <v/>
      </c>
      <c r="AK35" s="21"/>
      <c r="AL35" s="69" t="str">
        <f t="shared" si="67"/>
        <v/>
      </c>
      <c r="AM35" s="69" t="str">
        <f t="shared" si="68"/>
        <v/>
      </c>
      <c r="AN35" s="69" t="str">
        <f t="shared" si="69"/>
        <v/>
      </c>
      <c r="AO35" s="69" t="str">
        <f t="shared" si="70"/>
        <v/>
      </c>
      <c r="AP35" s="69" t="str">
        <f t="shared" si="71"/>
        <v/>
      </c>
      <c r="AQ35" s="21"/>
      <c r="AR35" s="21"/>
    </row>
    <row r="36" spans="1:44" ht="15.75" customHeight="1">
      <c r="A36" s="21"/>
      <c r="B36" s="21"/>
      <c r="C36" s="9" t="s">
        <v>289</v>
      </c>
      <c r="D36" s="67"/>
      <c r="E36" s="67"/>
      <c r="F36" s="67"/>
      <c r="G36" s="67"/>
      <c r="H36" s="67"/>
      <c r="I36" s="67"/>
      <c r="J36" s="21"/>
      <c r="K36" s="67"/>
      <c r="L36" s="67"/>
      <c r="M36" s="67"/>
      <c r="N36" s="67"/>
      <c r="O36" s="67"/>
      <c r="P36" s="67"/>
      <c r="Q36" s="21"/>
      <c r="R36" s="68" t="str">
        <f t="shared" si="50"/>
        <v/>
      </c>
      <c r="S36" s="68" t="str">
        <f t="shared" si="51"/>
        <v/>
      </c>
      <c r="T36" s="68" t="str">
        <f t="shared" si="52"/>
        <v/>
      </c>
      <c r="U36" s="68" t="str">
        <f t="shared" si="53"/>
        <v/>
      </c>
      <c r="V36" s="68" t="str">
        <f t="shared" si="54"/>
        <v/>
      </c>
      <c r="W36" s="68" t="str">
        <f t="shared" si="55"/>
        <v/>
      </c>
      <c r="X36" s="21"/>
      <c r="Y36" s="68" t="str">
        <f t="shared" si="56"/>
        <v/>
      </c>
      <c r="Z36" s="68" t="str">
        <f t="shared" si="57"/>
        <v/>
      </c>
      <c r="AA36" s="68" t="str">
        <f t="shared" si="58"/>
        <v/>
      </c>
      <c r="AB36" s="68" t="str">
        <f t="shared" si="59"/>
        <v/>
      </c>
      <c r="AC36" s="68" t="str">
        <f t="shared" si="60"/>
        <v/>
      </c>
      <c r="AD36" s="68" t="str">
        <f t="shared" si="61"/>
        <v/>
      </c>
      <c r="AE36" s="21"/>
      <c r="AF36" s="69" t="str">
        <f t="shared" si="62"/>
        <v/>
      </c>
      <c r="AG36" s="69" t="str">
        <f t="shared" si="63"/>
        <v/>
      </c>
      <c r="AH36" s="69" t="str">
        <f t="shared" si="64"/>
        <v/>
      </c>
      <c r="AI36" s="69" t="str">
        <f t="shared" si="65"/>
        <v/>
      </c>
      <c r="AJ36" s="69" t="str">
        <f t="shared" si="66"/>
        <v/>
      </c>
      <c r="AK36" s="21"/>
      <c r="AL36" s="69" t="str">
        <f t="shared" si="67"/>
        <v/>
      </c>
      <c r="AM36" s="69" t="str">
        <f t="shared" si="68"/>
        <v/>
      </c>
      <c r="AN36" s="69" t="str">
        <f t="shared" si="69"/>
        <v/>
      </c>
      <c r="AO36" s="69" t="str">
        <f t="shared" si="70"/>
        <v/>
      </c>
      <c r="AP36" s="69" t="str">
        <f t="shared" si="71"/>
        <v/>
      </c>
      <c r="AQ36" s="21"/>
      <c r="AR36" s="21"/>
    </row>
    <row r="37" spans="1:44" ht="15.75" customHeight="1">
      <c r="A37" s="21"/>
      <c r="B37" s="21"/>
      <c r="C37" s="9" t="s">
        <v>290</v>
      </c>
      <c r="D37" s="67"/>
      <c r="E37" s="67"/>
      <c r="F37" s="67"/>
      <c r="G37" s="67"/>
      <c r="H37" s="67"/>
      <c r="I37" s="67"/>
      <c r="J37" s="21"/>
      <c r="K37" s="67"/>
      <c r="L37" s="67"/>
      <c r="M37" s="67"/>
      <c r="N37" s="67"/>
      <c r="O37" s="67"/>
      <c r="P37" s="67"/>
      <c r="Q37" s="21"/>
      <c r="R37" s="68" t="str">
        <f t="shared" si="50"/>
        <v/>
      </c>
      <c r="S37" s="68" t="str">
        <f t="shared" si="51"/>
        <v/>
      </c>
      <c r="T37" s="68" t="str">
        <f t="shared" si="52"/>
        <v/>
      </c>
      <c r="U37" s="68" t="str">
        <f t="shared" si="53"/>
        <v/>
      </c>
      <c r="V37" s="68" t="str">
        <f t="shared" si="54"/>
        <v/>
      </c>
      <c r="W37" s="68" t="str">
        <f t="shared" si="55"/>
        <v/>
      </c>
      <c r="X37" s="21"/>
      <c r="Y37" s="68" t="str">
        <f t="shared" si="56"/>
        <v/>
      </c>
      <c r="Z37" s="68" t="str">
        <f t="shared" si="57"/>
        <v/>
      </c>
      <c r="AA37" s="68" t="str">
        <f t="shared" si="58"/>
        <v/>
      </c>
      <c r="AB37" s="68" t="str">
        <f t="shared" si="59"/>
        <v/>
      </c>
      <c r="AC37" s="68" t="str">
        <f t="shared" si="60"/>
        <v/>
      </c>
      <c r="AD37" s="68" t="str">
        <f t="shared" si="61"/>
        <v/>
      </c>
      <c r="AE37" s="21"/>
      <c r="AF37" s="69" t="str">
        <f t="shared" si="62"/>
        <v/>
      </c>
      <c r="AG37" s="69" t="str">
        <f t="shared" si="63"/>
        <v/>
      </c>
      <c r="AH37" s="69" t="str">
        <f t="shared" si="64"/>
        <v/>
      </c>
      <c r="AI37" s="69" t="str">
        <f t="shared" si="65"/>
        <v/>
      </c>
      <c r="AJ37" s="69" t="str">
        <f t="shared" si="66"/>
        <v/>
      </c>
      <c r="AK37" s="21"/>
      <c r="AL37" s="69" t="str">
        <f t="shared" si="67"/>
        <v/>
      </c>
      <c r="AM37" s="69" t="str">
        <f t="shared" si="68"/>
        <v/>
      </c>
      <c r="AN37" s="69" t="str">
        <f t="shared" si="69"/>
        <v/>
      </c>
      <c r="AO37" s="69" t="str">
        <f t="shared" si="70"/>
        <v/>
      </c>
      <c r="AP37" s="69" t="str">
        <f t="shared" si="71"/>
        <v/>
      </c>
      <c r="AQ37" s="21"/>
      <c r="AR37" s="21"/>
    </row>
    <row r="38" spans="1:44" ht="15.75" customHeight="1">
      <c r="A38" s="21"/>
      <c r="B38" s="21"/>
      <c r="C38" s="9" t="s">
        <v>291</v>
      </c>
      <c r="D38" s="67"/>
      <c r="E38" s="67"/>
      <c r="F38" s="67"/>
      <c r="G38" s="67"/>
      <c r="H38" s="67"/>
      <c r="I38" s="67"/>
      <c r="J38" s="21"/>
      <c r="K38" s="67"/>
      <c r="L38" s="67"/>
      <c r="M38" s="67"/>
      <c r="N38" s="67"/>
      <c r="O38" s="67"/>
      <c r="P38" s="67"/>
      <c r="Q38" s="21"/>
      <c r="R38" s="68" t="str">
        <f t="shared" si="50"/>
        <v/>
      </c>
      <c r="S38" s="68" t="str">
        <f t="shared" si="51"/>
        <v/>
      </c>
      <c r="T38" s="68" t="str">
        <f t="shared" si="52"/>
        <v/>
      </c>
      <c r="U38" s="68" t="str">
        <f t="shared" si="53"/>
        <v/>
      </c>
      <c r="V38" s="68" t="str">
        <f t="shared" si="54"/>
        <v/>
      </c>
      <c r="W38" s="68" t="str">
        <f t="shared" si="55"/>
        <v/>
      </c>
      <c r="X38" s="21"/>
      <c r="Y38" s="68" t="str">
        <f t="shared" si="56"/>
        <v/>
      </c>
      <c r="Z38" s="68" t="str">
        <f t="shared" si="57"/>
        <v/>
      </c>
      <c r="AA38" s="68" t="str">
        <f t="shared" si="58"/>
        <v/>
      </c>
      <c r="AB38" s="68" t="str">
        <f t="shared" si="59"/>
        <v/>
      </c>
      <c r="AC38" s="68" t="str">
        <f t="shared" si="60"/>
        <v/>
      </c>
      <c r="AD38" s="68" t="str">
        <f t="shared" si="61"/>
        <v/>
      </c>
      <c r="AE38" s="21"/>
      <c r="AF38" s="69" t="str">
        <f t="shared" si="62"/>
        <v/>
      </c>
      <c r="AG38" s="69" t="str">
        <f t="shared" si="63"/>
        <v/>
      </c>
      <c r="AH38" s="69" t="str">
        <f t="shared" si="64"/>
        <v/>
      </c>
      <c r="AI38" s="69" t="str">
        <f t="shared" si="65"/>
        <v/>
      </c>
      <c r="AJ38" s="69" t="str">
        <f t="shared" si="66"/>
        <v/>
      </c>
      <c r="AK38" s="21"/>
      <c r="AL38" s="69" t="str">
        <f t="shared" si="67"/>
        <v/>
      </c>
      <c r="AM38" s="69" t="str">
        <f t="shared" si="68"/>
        <v/>
      </c>
      <c r="AN38" s="69" t="str">
        <f t="shared" si="69"/>
        <v/>
      </c>
      <c r="AO38" s="69" t="str">
        <f t="shared" si="70"/>
        <v/>
      </c>
      <c r="AP38" s="69" t="str">
        <f t="shared" si="71"/>
        <v/>
      </c>
      <c r="AQ38" s="21"/>
      <c r="AR38" s="21"/>
    </row>
    <row r="39" spans="1:44" ht="15.75" customHeight="1">
      <c r="A39" s="21"/>
      <c r="B39" s="21"/>
      <c r="C39" s="9" t="s">
        <v>292</v>
      </c>
      <c r="D39" s="67"/>
      <c r="E39" s="67"/>
      <c r="F39" s="67"/>
      <c r="G39" s="67"/>
      <c r="H39" s="67"/>
      <c r="I39" s="67"/>
      <c r="J39" s="21"/>
      <c r="K39" s="67"/>
      <c r="L39" s="67"/>
      <c r="M39" s="67"/>
      <c r="N39" s="67"/>
      <c r="O39" s="67"/>
      <c r="P39" s="67"/>
      <c r="Q39" s="21"/>
      <c r="R39" s="68" t="str">
        <f t="shared" si="50"/>
        <v/>
      </c>
      <c r="S39" s="68" t="str">
        <f t="shared" si="51"/>
        <v/>
      </c>
      <c r="T39" s="68" t="str">
        <f t="shared" si="52"/>
        <v/>
      </c>
      <c r="U39" s="68" t="str">
        <f t="shared" si="53"/>
        <v/>
      </c>
      <c r="V39" s="68" t="str">
        <f t="shared" si="54"/>
        <v/>
      </c>
      <c r="W39" s="68" t="str">
        <f t="shared" si="55"/>
        <v/>
      </c>
      <c r="X39" s="21"/>
      <c r="Y39" s="68" t="str">
        <f t="shared" si="56"/>
        <v/>
      </c>
      <c r="Z39" s="68" t="str">
        <f t="shared" si="57"/>
        <v/>
      </c>
      <c r="AA39" s="68" t="str">
        <f t="shared" si="58"/>
        <v/>
      </c>
      <c r="AB39" s="68" t="str">
        <f t="shared" si="59"/>
        <v/>
      </c>
      <c r="AC39" s="68" t="str">
        <f t="shared" si="60"/>
        <v/>
      </c>
      <c r="AD39" s="68" t="str">
        <f t="shared" si="61"/>
        <v/>
      </c>
      <c r="AE39" s="21"/>
      <c r="AF39" s="69" t="str">
        <f t="shared" si="62"/>
        <v/>
      </c>
      <c r="AG39" s="69" t="str">
        <f t="shared" si="63"/>
        <v/>
      </c>
      <c r="AH39" s="69" t="str">
        <f t="shared" si="64"/>
        <v/>
      </c>
      <c r="AI39" s="69" t="str">
        <f t="shared" si="65"/>
        <v/>
      </c>
      <c r="AJ39" s="69" t="str">
        <f t="shared" si="66"/>
        <v/>
      </c>
      <c r="AK39" s="21"/>
      <c r="AL39" s="69" t="str">
        <f t="shared" si="67"/>
        <v/>
      </c>
      <c r="AM39" s="69" t="str">
        <f t="shared" si="68"/>
        <v/>
      </c>
      <c r="AN39" s="69" t="str">
        <f t="shared" si="69"/>
        <v/>
      </c>
      <c r="AO39" s="69" t="str">
        <f t="shared" si="70"/>
        <v/>
      </c>
      <c r="AP39" s="69" t="str">
        <f t="shared" si="71"/>
        <v/>
      </c>
      <c r="AQ39" s="21"/>
      <c r="AR39" s="21"/>
    </row>
    <row r="40" spans="1:44" ht="15.75" customHeight="1">
      <c r="A40" s="21"/>
      <c r="B40" s="21"/>
      <c r="C40" s="9" t="s">
        <v>293</v>
      </c>
      <c r="D40" s="67"/>
      <c r="E40" s="67"/>
      <c r="F40" s="67"/>
      <c r="G40" s="67"/>
      <c r="H40" s="67"/>
      <c r="I40" s="67"/>
      <c r="J40" s="21"/>
      <c r="K40" s="67"/>
      <c r="L40" s="67"/>
      <c r="M40" s="67"/>
      <c r="N40" s="67"/>
      <c r="O40" s="67"/>
      <c r="P40" s="67"/>
      <c r="Q40" s="21"/>
      <c r="R40" s="68" t="str">
        <f t="shared" si="50"/>
        <v/>
      </c>
      <c r="S40" s="68" t="str">
        <f t="shared" si="51"/>
        <v/>
      </c>
      <c r="T40" s="68" t="str">
        <f t="shared" si="52"/>
        <v/>
      </c>
      <c r="U40" s="68" t="str">
        <f t="shared" si="53"/>
        <v/>
      </c>
      <c r="V40" s="68" t="str">
        <f t="shared" si="54"/>
        <v/>
      </c>
      <c r="W40" s="68" t="str">
        <f t="shared" si="55"/>
        <v/>
      </c>
      <c r="X40" s="21"/>
      <c r="Y40" s="68" t="str">
        <f t="shared" si="56"/>
        <v/>
      </c>
      <c r="Z40" s="68" t="str">
        <f t="shared" si="57"/>
        <v/>
      </c>
      <c r="AA40" s="68" t="str">
        <f t="shared" si="58"/>
        <v/>
      </c>
      <c r="AB40" s="68" t="str">
        <f t="shared" si="59"/>
        <v/>
      </c>
      <c r="AC40" s="68" t="str">
        <f t="shared" si="60"/>
        <v/>
      </c>
      <c r="AD40" s="68" t="str">
        <f t="shared" si="61"/>
        <v/>
      </c>
      <c r="AE40" s="21"/>
      <c r="AF40" s="69" t="str">
        <f t="shared" si="62"/>
        <v/>
      </c>
      <c r="AG40" s="69" t="str">
        <f t="shared" si="63"/>
        <v/>
      </c>
      <c r="AH40" s="69" t="str">
        <f t="shared" si="64"/>
        <v/>
      </c>
      <c r="AI40" s="69" t="str">
        <f t="shared" si="65"/>
        <v/>
      </c>
      <c r="AJ40" s="69" t="str">
        <f t="shared" si="66"/>
        <v/>
      </c>
      <c r="AK40" s="21"/>
      <c r="AL40" s="69" t="str">
        <f t="shared" si="67"/>
        <v/>
      </c>
      <c r="AM40" s="69" t="str">
        <f t="shared" si="68"/>
        <v/>
      </c>
      <c r="AN40" s="69" t="str">
        <f t="shared" si="69"/>
        <v/>
      </c>
      <c r="AO40" s="69" t="str">
        <f t="shared" si="70"/>
        <v/>
      </c>
      <c r="AP40" s="69" t="str">
        <f t="shared" si="71"/>
        <v/>
      </c>
      <c r="AQ40" s="21"/>
      <c r="AR40" s="21"/>
    </row>
    <row r="41" spans="1:44" ht="15.75" customHeight="1">
      <c r="A41" s="21"/>
      <c r="B41" s="21"/>
      <c r="C41" s="9" t="s">
        <v>294</v>
      </c>
      <c r="D41" s="67"/>
      <c r="E41" s="67"/>
      <c r="F41" s="67"/>
      <c r="G41" s="67"/>
      <c r="H41" s="67"/>
      <c r="I41" s="67"/>
      <c r="J41" s="21"/>
      <c r="K41" s="67"/>
      <c r="L41" s="67"/>
      <c r="M41" s="67"/>
      <c r="N41" s="67"/>
      <c r="O41" s="67"/>
      <c r="P41" s="67"/>
      <c r="Q41" s="21"/>
      <c r="R41" s="68" t="str">
        <f t="shared" si="50"/>
        <v/>
      </c>
      <c r="S41" s="68" t="str">
        <f t="shared" si="51"/>
        <v/>
      </c>
      <c r="T41" s="68" t="str">
        <f t="shared" si="52"/>
        <v/>
      </c>
      <c r="U41" s="68" t="str">
        <f t="shared" si="53"/>
        <v/>
      </c>
      <c r="V41" s="68" t="str">
        <f t="shared" si="54"/>
        <v/>
      </c>
      <c r="W41" s="68" t="str">
        <f t="shared" si="55"/>
        <v/>
      </c>
      <c r="X41" s="21"/>
      <c r="Y41" s="68" t="str">
        <f t="shared" si="56"/>
        <v/>
      </c>
      <c r="Z41" s="68" t="str">
        <f t="shared" si="57"/>
        <v/>
      </c>
      <c r="AA41" s="68" t="str">
        <f t="shared" si="58"/>
        <v/>
      </c>
      <c r="AB41" s="68" t="str">
        <f t="shared" si="59"/>
        <v/>
      </c>
      <c r="AC41" s="68" t="str">
        <f t="shared" si="60"/>
        <v/>
      </c>
      <c r="AD41" s="68" t="str">
        <f t="shared" si="61"/>
        <v/>
      </c>
      <c r="AE41" s="21"/>
      <c r="AF41" s="69" t="str">
        <f t="shared" si="62"/>
        <v/>
      </c>
      <c r="AG41" s="69" t="str">
        <f t="shared" si="63"/>
        <v/>
      </c>
      <c r="AH41" s="69" t="str">
        <f t="shared" si="64"/>
        <v/>
      </c>
      <c r="AI41" s="69" t="str">
        <f t="shared" si="65"/>
        <v/>
      </c>
      <c r="AJ41" s="69" t="str">
        <f t="shared" si="66"/>
        <v/>
      </c>
      <c r="AK41" s="21"/>
      <c r="AL41" s="69" t="str">
        <f t="shared" si="67"/>
        <v/>
      </c>
      <c r="AM41" s="69" t="str">
        <f t="shared" si="68"/>
        <v/>
      </c>
      <c r="AN41" s="69" t="str">
        <f t="shared" si="69"/>
        <v/>
      </c>
      <c r="AO41" s="69" t="str">
        <f t="shared" si="70"/>
        <v/>
      </c>
      <c r="AP41" s="69" t="str">
        <f t="shared" si="71"/>
        <v/>
      </c>
      <c r="AQ41" s="21"/>
      <c r="AR41" s="21"/>
    </row>
    <row r="42" spans="1:44" ht="15.75" customHeight="1">
      <c r="A42" s="21"/>
      <c r="B42" s="21"/>
      <c r="C42" s="9" t="s">
        <v>295</v>
      </c>
      <c r="D42" s="67"/>
      <c r="E42" s="67"/>
      <c r="F42" s="67"/>
      <c r="G42" s="67"/>
      <c r="H42" s="67"/>
      <c r="I42" s="67"/>
      <c r="J42" s="21"/>
      <c r="K42" s="67"/>
      <c r="L42" s="67"/>
      <c r="M42" s="67"/>
      <c r="N42" s="67"/>
      <c r="O42" s="67"/>
      <c r="P42" s="67"/>
      <c r="Q42" s="21"/>
      <c r="R42" s="68" t="str">
        <f t="shared" si="50"/>
        <v/>
      </c>
      <c r="S42" s="68" t="str">
        <f t="shared" si="51"/>
        <v/>
      </c>
      <c r="T42" s="68" t="str">
        <f t="shared" si="52"/>
        <v/>
      </c>
      <c r="U42" s="68" t="str">
        <f t="shared" si="53"/>
        <v/>
      </c>
      <c r="V42" s="68" t="str">
        <f t="shared" si="54"/>
        <v/>
      </c>
      <c r="W42" s="68" t="str">
        <f t="shared" si="55"/>
        <v/>
      </c>
      <c r="X42" s="21"/>
      <c r="Y42" s="68" t="str">
        <f t="shared" si="56"/>
        <v/>
      </c>
      <c r="Z42" s="68" t="str">
        <f t="shared" si="57"/>
        <v/>
      </c>
      <c r="AA42" s="68" t="str">
        <f t="shared" si="58"/>
        <v/>
      </c>
      <c r="AB42" s="68" t="str">
        <f t="shared" si="59"/>
        <v/>
      </c>
      <c r="AC42" s="68" t="str">
        <f t="shared" si="60"/>
        <v/>
      </c>
      <c r="AD42" s="68" t="str">
        <f t="shared" si="61"/>
        <v/>
      </c>
      <c r="AE42" s="21"/>
      <c r="AF42" s="69" t="str">
        <f t="shared" si="62"/>
        <v/>
      </c>
      <c r="AG42" s="69" t="str">
        <f t="shared" si="63"/>
        <v/>
      </c>
      <c r="AH42" s="69" t="str">
        <f t="shared" si="64"/>
        <v/>
      </c>
      <c r="AI42" s="69" t="str">
        <f t="shared" si="65"/>
        <v/>
      </c>
      <c r="AJ42" s="69" t="str">
        <f t="shared" si="66"/>
        <v/>
      </c>
      <c r="AK42" s="21"/>
      <c r="AL42" s="69" t="str">
        <f t="shared" si="67"/>
        <v/>
      </c>
      <c r="AM42" s="69" t="str">
        <f t="shared" si="68"/>
        <v/>
      </c>
      <c r="AN42" s="69" t="str">
        <f t="shared" si="69"/>
        <v/>
      </c>
      <c r="AO42" s="69" t="str">
        <f t="shared" si="70"/>
        <v/>
      </c>
      <c r="AP42" s="69" t="str">
        <f t="shared" si="71"/>
        <v/>
      </c>
      <c r="AQ42" s="21"/>
      <c r="AR42" s="21"/>
    </row>
    <row r="43" spans="1:44" ht="15.75" customHeight="1">
      <c r="A43" s="21"/>
      <c r="B43" s="21"/>
      <c r="C43" s="70" t="s">
        <v>296</v>
      </c>
      <c r="D43" s="71">
        <f t="shared" ref="D43:I43" si="72">SUM(D33:D42)</f>
        <v>0</v>
      </c>
      <c r="E43" s="71">
        <f t="shared" si="72"/>
        <v>0</v>
      </c>
      <c r="F43" s="71">
        <f t="shared" si="72"/>
        <v>0</v>
      </c>
      <c r="G43" s="71">
        <f t="shared" si="72"/>
        <v>0</v>
      </c>
      <c r="H43" s="71">
        <f t="shared" si="72"/>
        <v>0</v>
      </c>
      <c r="I43" s="71">
        <f t="shared" si="72"/>
        <v>0</v>
      </c>
      <c r="J43" s="21"/>
      <c r="K43" s="71">
        <f t="shared" ref="K43:P43" si="73">SUM(K33:K42)</f>
        <v>0</v>
      </c>
      <c r="L43" s="71">
        <f t="shared" si="73"/>
        <v>0</v>
      </c>
      <c r="M43" s="71">
        <f t="shared" si="73"/>
        <v>0</v>
      </c>
      <c r="N43" s="71">
        <f t="shared" si="73"/>
        <v>0</v>
      </c>
      <c r="O43" s="71">
        <f t="shared" si="73"/>
        <v>0</v>
      </c>
      <c r="P43" s="71">
        <f t="shared" si="73"/>
        <v>0</v>
      </c>
      <c r="Q43" s="21"/>
      <c r="R43" s="68"/>
      <c r="S43" s="68"/>
      <c r="T43" s="68"/>
      <c r="U43" s="68"/>
      <c r="V43" s="68"/>
      <c r="W43" s="68"/>
      <c r="X43" s="21"/>
      <c r="Y43" s="68"/>
      <c r="Z43" s="68"/>
      <c r="AA43" s="68"/>
      <c r="AB43" s="68"/>
      <c r="AC43" s="68"/>
      <c r="AD43" s="68"/>
      <c r="AE43" s="21"/>
      <c r="AF43" s="69"/>
      <c r="AG43" s="69"/>
      <c r="AH43" s="69"/>
      <c r="AI43" s="69"/>
      <c r="AJ43" s="69"/>
      <c r="AK43" s="21"/>
      <c r="AL43" s="69"/>
      <c r="AM43" s="69"/>
      <c r="AN43" s="69"/>
      <c r="AO43" s="69"/>
      <c r="AP43" s="69"/>
      <c r="AQ43" s="21"/>
      <c r="AR43" s="21"/>
    </row>
    <row r="44" spans="1:44" ht="15.75" customHeight="1">
      <c r="A44" s="21"/>
      <c r="B44" s="21"/>
      <c r="C44" s="11" t="s">
        <v>297</v>
      </c>
      <c r="D44" s="65"/>
      <c r="E44" s="65"/>
      <c r="F44" s="65"/>
      <c r="G44" s="65"/>
      <c r="H44" s="65"/>
      <c r="I44" s="65"/>
      <c r="J44" s="21"/>
      <c r="K44" s="65"/>
      <c r="L44" s="65"/>
      <c r="M44" s="65"/>
      <c r="N44" s="65"/>
      <c r="O44" s="65"/>
      <c r="P44" s="65"/>
      <c r="Q44" s="21"/>
      <c r="R44" s="65"/>
      <c r="S44" s="65"/>
      <c r="T44" s="65"/>
      <c r="U44" s="65"/>
      <c r="V44" s="65"/>
      <c r="W44" s="65"/>
      <c r="X44" s="21"/>
      <c r="Y44" s="65"/>
      <c r="Z44" s="65"/>
      <c r="AA44" s="65"/>
      <c r="AB44" s="65"/>
      <c r="AC44" s="65"/>
      <c r="AD44" s="65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</row>
    <row r="45" spans="1:44" ht="15.75" customHeight="1">
      <c r="A45" s="21"/>
      <c r="B45" s="21"/>
      <c r="C45" s="9" t="s">
        <v>298</v>
      </c>
      <c r="D45" s="67"/>
      <c r="E45" s="67"/>
      <c r="F45" s="67"/>
      <c r="G45" s="67"/>
      <c r="H45" s="67"/>
      <c r="I45" s="67"/>
      <c r="J45" s="21"/>
      <c r="K45" s="67"/>
      <c r="L45" s="67"/>
      <c r="M45" s="67"/>
      <c r="N45" s="67"/>
      <c r="O45" s="67"/>
      <c r="P45" s="67"/>
      <c r="Q45" s="21"/>
      <c r="R45" s="68" t="str">
        <f t="shared" ref="R45:R53" si="74">IFERROR(D45/D$31,"")</f>
        <v/>
      </c>
      <c r="S45" s="68" t="str">
        <f t="shared" ref="S45:S53" si="75">IFERROR(E45/E$31,"")</f>
        <v/>
      </c>
      <c r="T45" s="68" t="str">
        <f t="shared" ref="T45:T53" si="76">IFERROR(F45/F$31,"")</f>
        <v/>
      </c>
      <c r="U45" s="68" t="str">
        <f t="shared" ref="U45:U53" si="77">IFERROR(G45/G$31,"")</f>
        <v/>
      </c>
      <c r="V45" s="68" t="str">
        <f t="shared" ref="V45:V53" si="78">IFERROR(H45/H$31,"")</f>
        <v/>
      </c>
      <c r="W45" s="68" t="str">
        <f t="shared" ref="W45:W53" si="79">IFERROR(I45/I$31,"")</f>
        <v/>
      </c>
      <c r="X45" s="21"/>
      <c r="Y45" s="68" t="str">
        <f t="shared" ref="Y45:Y53" si="80">IFERROR(K45/K$31,"")</f>
        <v/>
      </c>
      <c r="Z45" s="68" t="str">
        <f t="shared" ref="Z45:Z53" si="81">IFERROR(L45/L$31,"")</f>
        <v/>
      </c>
      <c r="AA45" s="68" t="str">
        <f t="shared" ref="AA45:AA53" si="82">IFERROR(M45/M$31,"")</f>
        <v/>
      </c>
      <c r="AB45" s="68" t="str">
        <f t="shared" ref="AB45:AB53" si="83">IFERROR(N45/N$31,"")</f>
        <v/>
      </c>
      <c r="AC45" s="68" t="str">
        <f t="shared" ref="AC45:AC53" si="84">IFERROR(O45/O$31,"")</f>
        <v/>
      </c>
      <c r="AD45" s="68" t="str">
        <f t="shared" ref="AD45:AD53" si="85">IFERROR(P45/P$31,"")</f>
        <v/>
      </c>
      <c r="AE45" s="21"/>
      <c r="AF45" s="69" t="str">
        <f t="shared" ref="AF45:AF53" si="86">IF(OR(D45="",D45=0),"",IFERROR(E45/D45-1,""))</f>
        <v/>
      </c>
      <c r="AG45" s="69" t="str">
        <f t="shared" ref="AG45:AG53" si="87">IF(OR(E45="",E45=0),"",IFERROR(F45/E45-1,""))</f>
        <v/>
      </c>
      <c r="AH45" s="69" t="str">
        <f t="shared" ref="AH45:AH53" si="88">IF(OR(F45="",F45=0),"",IFERROR(G45/F45-1,""))</f>
        <v/>
      </c>
      <c r="AI45" s="69" t="str">
        <f t="shared" ref="AI45:AI53" si="89">IF(OR(G45="",G45=0),"",IFERROR(H45/G45-1,""))</f>
        <v/>
      </c>
      <c r="AJ45" s="69" t="str">
        <f t="shared" ref="AJ45:AJ53" si="90">IF(OR(H45="",H45=0),"",IFERROR(I45/H45-1,""))</f>
        <v/>
      </c>
      <c r="AK45" s="21"/>
      <c r="AL45" s="69" t="str">
        <f t="shared" ref="AL45:AL53" si="91">IF(OR(K45="",K45=0),"",IFERROR(L45/K45-1,""))</f>
        <v/>
      </c>
      <c r="AM45" s="69" t="str">
        <f t="shared" ref="AM45:AM53" si="92">IF(OR(L45="",L45=0),"",IFERROR(M45/L45-1,""))</f>
        <v/>
      </c>
      <c r="AN45" s="69" t="str">
        <f t="shared" ref="AN45:AN53" si="93">IF(OR(M45="",M45=0),"",IFERROR(N45/M45-1,""))</f>
        <v/>
      </c>
      <c r="AO45" s="69" t="str">
        <f t="shared" ref="AO45:AO53" si="94">IF(OR(N45="",N45=0),"",IFERROR(O45/N45-1,""))</f>
        <v/>
      </c>
      <c r="AP45" s="69" t="str">
        <f t="shared" ref="AP45:AP53" si="95">IF(OR(O45="",O45=0),"",IFERROR(P45/O45-1,""))</f>
        <v/>
      </c>
      <c r="AQ45" s="21"/>
      <c r="AR45" s="21"/>
    </row>
    <row r="46" spans="1:44" ht="15.75" customHeight="1">
      <c r="A46" s="21"/>
      <c r="B46" s="21"/>
      <c r="C46" s="9" t="s">
        <v>299</v>
      </c>
      <c r="D46" s="67"/>
      <c r="E46" s="67"/>
      <c r="F46" s="67"/>
      <c r="G46" s="67"/>
      <c r="H46" s="67"/>
      <c r="I46" s="67"/>
      <c r="J46" s="21"/>
      <c r="K46" s="67"/>
      <c r="L46" s="67"/>
      <c r="M46" s="67"/>
      <c r="N46" s="67"/>
      <c r="O46" s="67"/>
      <c r="P46" s="67"/>
      <c r="Q46" s="21"/>
      <c r="R46" s="68" t="str">
        <f t="shared" si="74"/>
        <v/>
      </c>
      <c r="S46" s="68" t="str">
        <f t="shared" si="75"/>
        <v/>
      </c>
      <c r="T46" s="68" t="str">
        <f t="shared" si="76"/>
        <v/>
      </c>
      <c r="U46" s="68" t="str">
        <f t="shared" si="77"/>
        <v/>
      </c>
      <c r="V46" s="68" t="str">
        <f t="shared" si="78"/>
        <v/>
      </c>
      <c r="W46" s="68" t="str">
        <f t="shared" si="79"/>
        <v/>
      </c>
      <c r="X46" s="21"/>
      <c r="Y46" s="68" t="str">
        <f t="shared" si="80"/>
        <v/>
      </c>
      <c r="Z46" s="68" t="str">
        <f t="shared" si="81"/>
        <v/>
      </c>
      <c r="AA46" s="68" t="str">
        <f t="shared" si="82"/>
        <v/>
      </c>
      <c r="AB46" s="68" t="str">
        <f t="shared" si="83"/>
        <v/>
      </c>
      <c r="AC46" s="68" t="str">
        <f t="shared" si="84"/>
        <v/>
      </c>
      <c r="AD46" s="68" t="str">
        <f t="shared" si="85"/>
        <v/>
      </c>
      <c r="AE46" s="21"/>
      <c r="AF46" s="69" t="str">
        <f t="shared" si="86"/>
        <v/>
      </c>
      <c r="AG46" s="69" t="str">
        <f t="shared" si="87"/>
        <v/>
      </c>
      <c r="AH46" s="69" t="str">
        <f t="shared" si="88"/>
        <v/>
      </c>
      <c r="AI46" s="69" t="str">
        <f t="shared" si="89"/>
        <v/>
      </c>
      <c r="AJ46" s="69" t="str">
        <f t="shared" si="90"/>
        <v/>
      </c>
      <c r="AK46" s="21"/>
      <c r="AL46" s="69" t="str">
        <f t="shared" si="91"/>
        <v/>
      </c>
      <c r="AM46" s="69" t="str">
        <f t="shared" si="92"/>
        <v/>
      </c>
      <c r="AN46" s="69" t="str">
        <f t="shared" si="93"/>
        <v/>
      </c>
      <c r="AO46" s="69" t="str">
        <f t="shared" si="94"/>
        <v/>
      </c>
      <c r="AP46" s="69" t="str">
        <f t="shared" si="95"/>
        <v/>
      </c>
      <c r="AQ46" s="21"/>
      <c r="AR46" s="21"/>
    </row>
    <row r="47" spans="1:44" ht="15.75" customHeight="1">
      <c r="A47" s="21"/>
      <c r="B47" s="21"/>
      <c r="C47" s="9" t="s">
        <v>300</v>
      </c>
      <c r="D47" s="67"/>
      <c r="E47" s="67"/>
      <c r="F47" s="67"/>
      <c r="G47" s="67"/>
      <c r="H47" s="67"/>
      <c r="I47" s="67"/>
      <c r="J47" s="21"/>
      <c r="K47" s="67"/>
      <c r="L47" s="67"/>
      <c r="M47" s="67"/>
      <c r="N47" s="67"/>
      <c r="O47" s="67"/>
      <c r="P47" s="67"/>
      <c r="Q47" s="21"/>
      <c r="R47" s="68" t="str">
        <f t="shared" si="74"/>
        <v/>
      </c>
      <c r="S47" s="68" t="str">
        <f t="shared" si="75"/>
        <v/>
      </c>
      <c r="T47" s="68" t="str">
        <f t="shared" si="76"/>
        <v/>
      </c>
      <c r="U47" s="68" t="str">
        <f t="shared" si="77"/>
        <v/>
      </c>
      <c r="V47" s="68" t="str">
        <f t="shared" si="78"/>
        <v/>
      </c>
      <c r="W47" s="68" t="str">
        <f t="shared" si="79"/>
        <v/>
      </c>
      <c r="X47" s="21"/>
      <c r="Y47" s="68" t="str">
        <f t="shared" si="80"/>
        <v/>
      </c>
      <c r="Z47" s="68" t="str">
        <f t="shared" si="81"/>
        <v/>
      </c>
      <c r="AA47" s="68" t="str">
        <f t="shared" si="82"/>
        <v/>
      </c>
      <c r="AB47" s="68" t="str">
        <f t="shared" si="83"/>
        <v/>
      </c>
      <c r="AC47" s="68" t="str">
        <f t="shared" si="84"/>
        <v/>
      </c>
      <c r="AD47" s="68" t="str">
        <f t="shared" si="85"/>
        <v/>
      </c>
      <c r="AE47" s="21"/>
      <c r="AF47" s="69" t="str">
        <f t="shared" si="86"/>
        <v/>
      </c>
      <c r="AG47" s="69" t="str">
        <f t="shared" si="87"/>
        <v/>
      </c>
      <c r="AH47" s="69" t="str">
        <f t="shared" si="88"/>
        <v/>
      </c>
      <c r="AI47" s="69" t="str">
        <f t="shared" si="89"/>
        <v/>
      </c>
      <c r="AJ47" s="69" t="str">
        <f t="shared" si="90"/>
        <v/>
      </c>
      <c r="AK47" s="21"/>
      <c r="AL47" s="69" t="str">
        <f t="shared" si="91"/>
        <v/>
      </c>
      <c r="AM47" s="69" t="str">
        <f t="shared" si="92"/>
        <v/>
      </c>
      <c r="AN47" s="69" t="str">
        <f t="shared" si="93"/>
        <v/>
      </c>
      <c r="AO47" s="69" t="str">
        <f t="shared" si="94"/>
        <v/>
      </c>
      <c r="AP47" s="69" t="str">
        <f t="shared" si="95"/>
        <v/>
      </c>
      <c r="AQ47" s="21"/>
      <c r="AR47" s="21"/>
    </row>
    <row r="48" spans="1:44" ht="15.75" customHeight="1">
      <c r="A48" s="21"/>
      <c r="B48" s="21"/>
      <c r="C48" s="9" t="s">
        <v>301</v>
      </c>
      <c r="D48" s="67"/>
      <c r="E48" s="67"/>
      <c r="F48" s="67"/>
      <c r="G48" s="67"/>
      <c r="H48" s="67"/>
      <c r="I48" s="67"/>
      <c r="J48" s="21"/>
      <c r="K48" s="67"/>
      <c r="L48" s="67"/>
      <c r="M48" s="67"/>
      <c r="N48" s="67"/>
      <c r="O48" s="67"/>
      <c r="P48" s="67"/>
      <c r="Q48" s="21"/>
      <c r="R48" s="68" t="str">
        <f t="shared" si="74"/>
        <v/>
      </c>
      <c r="S48" s="68" t="str">
        <f t="shared" si="75"/>
        <v/>
      </c>
      <c r="T48" s="68" t="str">
        <f t="shared" si="76"/>
        <v/>
      </c>
      <c r="U48" s="68" t="str">
        <f t="shared" si="77"/>
        <v/>
      </c>
      <c r="V48" s="68" t="str">
        <f t="shared" si="78"/>
        <v/>
      </c>
      <c r="W48" s="68" t="str">
        <f t="shared" si="79"/>
        <v/>
      </c>
      <c r="X48" s="21"/>
      <c r="Y48" s="68" t="str">
        <f t="shared" si="80"/>
        <v/>
      </c>
      <c r="Z48" s="68" t="str">
        <f t="shared" si="81"/>
        <v/>
      </c>
      <c r="AA48" s="68" t="str">
        <f t="shared" si="82"/>
        <v/>
      </c>
      <c r="AB48" s="68" t="str">
        <f t="shared" si="83"/>
        <v/>
      </c>
      <c r="AC48" s="68" t="str">
        <f t="shared" si="84"/>
        <v/>
      </c>
      <c r="AD48" s="68" t="str">
        <f t="shared" si="85"/>
        <v/>
      </c>
      <c r="AE48" s="21"/>
      <c r="AF48" s="69" t="str">
        <f t="shared" si="86"/>
        <v/>
      </c>
      <c r="AG48" s="69" t="str">
        <f t="shared" si="87"/>
        <v/>
      </c>
      <c r="AH48" s="69" t="str">
        <f t="shared" si="88"/>
        <v/>
      </c>
      <c r="AI48" s="69" t="str">
        <f t="shared" si="89"/>
        <v/>
      </c>
      <c r="AJ48" s="69" t="str">
        <f t="shared" si="90"/>
        <v/>
      </c>
      <c r="AK48" s="21"/>
      <c r="AL48" s="69" t="str">
        <f t="shared" si="91"/>
        <v/>
      </c>
      <c r="AM48" s="69" t="str">
        <f t="shared" si="92"/>
        <v/>
      </c>
      <c r="AN48" s="69" t="str">
        <f t="shared" si="93"/>
        <v/>
      </c>
      <c r="AO48" s="69" t="str">
        <f t="shared" si="94"/>
        <v/>
      </c>
      <c r="AP48" s="69" t="str">
        <f t="shared" si="95"/>
        <v/>
      </c>
      <c r="AQ48" s="21"/>
    </row>
    <row r="49" spans="1:43" ht="15.75" customHeight="1">
      <c r="A49" s="21"/>
      <c r="B49" s="21"/>
      <c r="C49" s="9" t="s">
        <v>302</v>
      </c>
      <c r="D49" s="67"/>
      <c r="E49" s="67"/>
      <c r="F49" s="67"/>
      <c r="G49" s="67"/>
      <c r="H49" s="67"/>
      <c r="I49" s="67"/>
      <c r="J49" s="21"/>
      <c r="K49" s="67"/>
      <c r="L49" s="67"/>
      <c r="M49" s="67"/>
      <c r="N49" s="67"/>
      <c r="O49" s="67"/>
      <c r="P49" s="67"/>
      <c r="Q49" s="21"/>
      <c r="R49" s="68" t="str">
        <f t="shared" si="74"/>
        <v/>
      </c>
      <c r="S49" s="68" t="str">
        <f t="shared" si="75"/>
        <v/>
      </c>
      <c r="T49" s="68" t="str">
        <f t="shared" si="76"/>
        <v/>
      </c>
      <c r="U49" s="68" t="str">
        <f t="shared" si="77"/>
        <v/>
      </c>
      <c r="V49" s="68" t="str">
        <f t="shared" si="78"/>
        <v/>
      </c>
      <c r="W49" s="68" t="str">
        <f t="shared" si="79"/>
        <v/>
      </c>
      <c r="X49" s="21"/>
      <c r="Y49" s="68" t="str">
        <f t="shared" si="80"/>
        <v/>
      </c>
      <c r="Z49" s="68" t="str">
        <f t="shared" si="81"/>
        <v/>
      </c>
      <c r="AA49" s="68" t="str">
        <f t="shared" si="82"/>
        <v/>
      </c>
      <c r="AB49" s="68" t="str">
        <f t="shared" si="83"/>
        <v/>
      </c>
      <c r="AC49" s="68" t="str">
        <f t="shared" si="84"/>
        <v/>
      </c>
      <c r="AD49" s="68" t="str">
        <f t="shared" si="85"/>
        <v/>
      </c>
      <c r="AE49" s="21"/>
      <c r="AF49" s="69" t="str">
        <f t="shared" si="86"/>
        <v/>
      </c>
      <c r="AG49" s="69" t="str">
        <f t="shared" si="87"/>
        <v/>
      </c>
      <c r="AH49" s="69" t="str">
        <f t="shared" si="88"/>
        <v/>
      </c>
      <c r="AI49" s="69" t="str">
        <f t="shared" si="89"/>
        <v/>
      </c>
      <c r="AJ49" s="69" t="str">
        <f t="shared" si="90"/>
        <v/>
      </c>
      <c r="AK49" s="21"/>
      <c r="AL49" s="69" t="str">
        <f t="shared" si="91"/>
        <v/>
      </c>
      <c r="AM49" s="69" t="str">
        <f t="shared" si="92"/>
        <v/>
      </c>
      <c r="AN49" s="69" t="str">
        <f t="shared" si="93"/>
        <v/>
      </c>
      <c r="AO49" s="69" t="str">
        <f t="shared" si="94"/>
        <v/>
      </c>
      <c r="AP49" s="69" t="str">
        <f t="shared" si="95"/>
        <v/>
      </c>
      <c r="AQ49" s="21"/>
    </row>
    <row r="50" spans="1:43" ht="15.75" customHeight="1">
      <c r="A50" s="21"/>
      <c r="B50" s="21"/>
      <c r="C50" s="9" t="s">
        <v>303</v>
      </c>
      <c r="D50" s="67"/>
      <c r="E50" s="67"/>
      <c r="F50" s="67"/>
      <c r="G50" s="67"/>
      <c r="H50" s="67"/>
      <c r="I50" s="67"/>
      <c r="J50" s="21"/>
      <c r="K50" s="67"/>
      <c r="L50" s="67"/>
      <c r="M50" s="67"/>
      <c r="N50" s="67"/>
      <c r="O50" s="67"/>
      <c r="P50" s="67"/>
      <c r="Q50" s="21"/>
      <c r="R50" s="68" t="str">
        <f t="shared" si="74"/>
        <v/>
      </c>
      <c r="S50" s="68" t="str">
        <f t="shared" si="75"/>
        <v/>
      </c>
      <c r="T50" s="68" t="str">
        <f t="shared" si="76"/>
        <v/>
      </c>
      <c r="U50" s="68" t="str">
        <f t="shared" si="77"/>
        <v/>
      </c>
      <c r="V50" s="68" t="str">
        <f t="shared" si="78"/>
        <v/>
      </c>
      <c r="W50" s="68" t="str">
        <f t="shared" si="79"/>
        <v/>
      </c>
      <c r="X50" s="21"/>
      <c r="Y50" s="68" t="str">
        <f t="shared" si="80"/>
        <v/>
      </c>
      <c r="Z50" s="68" t="str">
        <f t="shared" si="81"/>
        <v/>
      </c>
      <c r="AA50" s="68" t="str">
        <f t="shared" si="82"/>
        <v/>
      </c>
      <c r="AB50" s="68" t="str">
        <f t="shared" si="83"/>
        <v/>
      </c>
      <c r="AC50" s="68" t="str">
        <f t="shared" si="84"/>
        <v/>
      </c>
      <c r="AD50" s="68" t="str">
        <f t="shared" si="85"/>
        <v/>
      </c>
      <c r="AE50" s="21"/>
      <c r="AF50" s="69" t="str">
        <f t="shared" si="86"/>
        <v/>
      </c>
      <c r="AG50" s="69" t="str">
        <f t="shared" si="87"/>
        <v/>
      </c>
      <c r="AH50" s="69" t="str">
        <f t="shared" si="88"/>
        <v/>
      </c>
      <c r="AI50" s="69" t="str">
        <f t="shared" si="89"/>
        <v/>
      </c>
      <c r="AJ50" s="69" t="str">
        <f t="shared" si="90"/>
        <v/>
      </c>
      <c r="AK50" s="21"/>
      <c r="AL50" s="69" t="str">
        <f t="shared" si="91"/>
        <v/>
      </c>
      <c r="AM50" s="69" t="str">
        <f t="shared" si="92"/>
        <v/>
      </c>
      <c r="AN50" s="69" t="str">
        <f t="shared" si="93"/>
        <v/>
      </c>
      <c r="AO50" s="69" t="str">
        <f t="shared" si="94"/>
        <v/>
      </c>
      <c r="AP50" s="69" t="str">
        <f t="shared" si="95"/>
        <v/>
      </c>
      <c r="AQ50" s="21"/>
    </row>
    <row r="51" spans="1:43" ht="15.75" customHeight="1">
      <c r="A51" s="21"/>
      <c r="B51" s="21"/>
      <c r="C51" s="9" t="s">
        <v>304</v>
      </c>
      <c r="D51" s="67"/>
      <c r="E51" s="67"/>
      <c r="F51" s="67"/>
      <c r="G51" s="67"/>
      <c r="H51" s="67"/>
      <c r="I51" s="67"/>
      <c r="J51" s="21"/>
      <c r="K51" s="67"/>
      <c r="L51" s="67"/>
      <c r="M51" s="67"/>
      <c r="N51" s="67"/>
      <c r="O51" s="67"/>
      <c r="P51" s="67"/>
      <c r="Q51" s="21"/>
      <c r="R51" s="68" t="str">
        <f t="shared" si="74"/>
        <v/>
      </c>
      <c r="S51" s="68" t="str">
        <f t="shared" si="75"/>
        <v/>
      </c>
      <c r="T51" s="68" t="str">
        <f t="shared" si="76"/>
        <v/>
      </c>
      <c r="U51" s="68" t="str">
        <f t="shared" si="77"/>
        <v/>
      </c>
      <c r="V51" s="68" t="str">
        <f t="shared" si="78"/>
        <v/>
      </c>
      <c r="W51" s="68" t="str">
        <f t="shared" si="79"/>
        <v/>
      </c>
      <c r="X51" s="21"/>
      <c r="Y51" s="68" t="str">
        <f t="shared" si="80"/>
        <v/>
      </c>
      <c r="Z51" s="68" t="str">
        <f t="shared" si="81"/>
        <v/>
      </c>
      <c r="AA51" s="68" t="str">
        <f t="shared" si="82"/>
        <v/>
      </c>
      <c r="AB51" s="68" t="str">
        <f t="shared" si="83"/>
        <v/>
      </c>
      <c r="AC51" s="68" t="str">
        <f t="shared" si="84"/>
        <v/>
      </c>
      <c r="AD51" s="68" t="str">
        <f t="shared" si="85"/>
        <v/>
      </c>
      <c r="AE51" s="21"/>
      <c r="AF51" s="69" t="str">
        <f t="shared" si="86"/>
        <v/>
      </c>
      <c r="AG51" s="69" t="str">
        <f t="shared" si="87"/>
        <v/>
      </c>
      <c r="AH51" s="69" t="str">
        <f t="shared" si="88"/>
        <v/>
      </c>
      <c r="AI51" s="69" t="str">
        <f t="shared" si="89"/>
        <v/>
      </c>
      <c r="AJ51" s="69" t="str">
        <f t="shared" si="90"/>
        <v/>
      </c>
      <c r="AK51" s="21"/>
      <c r="AL51" s="69" t="str">
        <f t="shared" si="91"/>
        <v/>
      </c>
      <c r="AM51" s="69" t="str">
        <f t="shared" si="92"/>
        <v/>
      </c>
      <c r="AN51" s="69" t="str">
        <f t="shared" si="93"/>
        <v/>
      </c>
      <c r="AO51" s="69" t="str">
        <f t="shared" si="94"/>
        <v/>
      </c>
      <c r="AP51" s="69" t="str">
        <f t="shared" si="95"/>
        <v/>
      </c>
      <c r="AQ51" s="21"/>
    </row>
    <row r="52" spans="1:43" ht="15.75" customHeight="1">
      <c r="A52" s="21"/>
      <c r="B52" s="21"/>
      <c r="C52" s="9" t="s">
        <v>305</v>
      </c>
      <c r="D52" s="67"/>
      <c r="E52" s="67"/>
      <c r="F52" s="67"/>
      <c r="G52" s="67"/>
      <c r="H52" s="67"/>
      <c r="I52" s="67"/>
      <c r="J52" s="21"/>
      <c r="K52" s="67"/>
      <c r="L52" s="67"/>
      <c r="M52" s="67"/>
      <c r="N52" s="67"/>
      <c r="O52" s="67"/>
      <c r="P52" s="67"/>
      <c r="Q52" s="21"/>
      <c r="R52" s="68" t="str">
        <f t="shared" si="74"/>
        <v/>
      </c>
      <c r="S52" s="68" t="str">
        <f t="shared" si="75"/>
        <v/>
      </c>
      <c r="T52" s="68" t="str">
        <f t="shared" si="76"/>
        <v/>
      </c>
      <c r="U52" s="68" t="str">
        <f t="shared" si="77"/>
        <v/>
      </c>
      <c r="V52" s="68" t="str">
        <f t="shared" si="78"/>
        <v/>
      </c>
      <c r="W52" s="68" t="str">
        <f t="shared" si="79"/>
        <v/>
      </c>
      <c r="X52" s="21"/>
      <c r="Y52" s="68" t="str">
        <f t="shared" si="80"/>
        <v/>
      </c>
      <c r="Z52" s="68" t="str">
        <f t="shared" si="81"/>
        <v/>
      </c>
      <c r="AA52" s="68" t="str">
        <f t="shared" si="82"/>
        <v/>
      </c>
      <c r="AB52" s="68" t="str">
        <f t="shared" si="83"/>
        <v/>
      </c>
      <c r="AC52" s="68" t="str">
        <f t="shared" si="84"/>
        <v/>
      </c>
      <c r="AD52" s="68" t="str">
        <f t="shared" si="85"/>
        <v/>
      </c>
      <c r="AE52" s="21"/>
      <c r="AF52" s="69" t="str">
        <f t="shared" si="86"/>
        <v/>
      </c>
      <c r="AG52" s="69" t="str">
        <f t="shared" si="87"/>
        <v/>
      </c>
      <c r="AH52" s="69" t="str">
        <f t="shared" si="88"/>
        <v/>
      </c>
      <c r="AI52" s="69" t="str">
        <f t="shared" si="89"/>
        <v/>
      </c>
      <c r="AJ52" s="69" t="str">
        <f t="shared" si="90"/>
        <v/>
      </c>
      <c r="AK52" s="21"/>
      <c r="AL52" s="69" t="str">
        <f t="shared" si="91"/>
        <v/>
      </c>
      <c r="AM52" s="69" t="str">
        <f t="shared" si="92"/>
        <v/>
      </c>
      <c r="AN52" s="69" t="str">
        <f t="shared" si="93"/>
        <v/>
      </c>
      <c r="AO52" s="69" t="str">
        <f t="shared" si="94"/>
        <v/>
      </c>
      <c r="AP52" s="69" t="str">
        <f t="shared" si="95"/>
        <v/>
      </c>
      <c r="AQ52" s="21"/>
    </row>
    <row r="53" spans="1:43" ht="15.75" customHeight="1">
      <c r="A53" s="21"/>
      <c r="B53" s="21"/>
      <c r="C53" s="9" t="s">
        <v>306</v>
      </c>
      <c r="D53" s="67"/>
      <c r="E53" s="67"/>
      <c r="F53" s="67"/>
      <c r="G53" s="67"/>
      <c r="H53" s="67"/>
      <c r="I53" s="67"/>
      <c r="J53" s="21"/>
      <c r="K53" s="67"/>
      <c r="L53" s="67"/>
      <c r="M53" s="67"/>
      <c r="N53" s="67"/>
      <c r="O53" s="67"/>
      <c r="P53" s="67"/>
      <c r="Q53" s="21"/>
      <c r="R53" s="68" t="str">
        <f t="shared" si="74"/>
        <v/>
      </c>
      <c r="S53" s="68" t="str">
        <f t="shared" si="75"/>
        <v/>
      </c>
      <c r="T53" s="68" t="str">
        <f t="shared" si="76"/>
        <v/>
      </c>
      <c r="U53" s="68" t="str">
        <f t="shared" si="77"/>
        <v/>
      </c>
      <c r="V53" s="68" t="str">
        <f t="shared" si="78"/>
        <v/>
      </c>
      <c r="W53" s="68" t="str">
        <f t="shared" si="79"/>
        <v/>
      </c>
      <c r="X53" s="21"/>
      <c r="Y53" s="68" t="str">
        <f t="shared" si="80"/>
        <v/>
      </c>
      <c r="Z53" s="68" t="str">
        <f t="shared" si="81"/>
        <v/>
      </c>
      <c r="AA53" s="68" t="str">
        <f t="shared" si="82"/>
        <v/>
      </c>
      <c r="AB53" s="68" t="str">
        <f t="shared" si="83"/>
        <v/>
      </c>
      <c r="AC53" s="68" t="str">
        <f t="shared" si="84"/>
        <v/>
      </c>
      <c r="AD53" s="68" t="str">
        <f t="shared" si="85"/>
        <v/>
      </c>
      <c r="AE53" s="21"/>
      <c r="AF53" s="69" t="str">
        <f t="shared" si="86"/>
        <v/>
      </c>
      <c r="AG53" s="69" t="str">
        <f t="shared" si="87"/>
        <v/>
      </c>
      <c r="AH53" s="69" t="str">
        <f t="shared" si="88"/>
        <v/>
      </c>
      <c r="AI53" s="69" t="str">
        <f t="shared" si="89"/>
        <v/>
      </c>
      <c r="AJ53" s="69" t="str">
        <f t="shared" si="90"/>
        <v/>
      </c>
      <c r="AK53" s="21"/>
      <c r="AL53" s="69" t="str">
        <f t="shared" si="91"/>
        <v/>
      </c>
      <c r="AM53" s="69" t="str">
        <f t="shared" si="92"/>
        <v/>
      </c>
      <c r="AN53" s="69" t="str">
        <f t="shared" si="93"/>
        <v/>
      </c>
      <c r="AO53" s="69" t="str">
        <f t="shared" si="94"/>
        <v/>
      </c>
      <c r="AP53" s="69" t="str">
        <f t="shared" si="95"/>
        <v/>
      </c>
      <c r="AQ53" s="21"/>
    </row>
    <row r="54" spans="1:43" ht="15.75" customHeight="1">
      <c r="A54" s="21"/>
      <c r="B54" s="21"/>
      <c r="C54" s="70" t="s">
        <v>307</v>
      </c>
      <c r="D54" s="71">
        <f t="shared" ref="D54:I54" si="96">SUM(D45:D53)</f>
        <v>0</v>
      </c>
      <c r="E54" s="71">
        <f t="shared" si="96"/>
        <v>0</v>
      </c>
      <c r="F54" s="71">
        <f t="shared" si="96"/>
        <v>0</v>
      </c>
      <c r="G54" s="71">
        <f t="shared" si="96"/>
        <v>0</v>
      </c>
      <c r="H54" s="71">
        <f t="shared" si="96"/>
        <v>0</v>
      </c>
      <c r="I54" s="71">
        <f t="shared" si="96"/>
        <v>0</v>
      </c>
      <c r="J54" s="21"/>
      <c r="K54" s="71">
        <f t="shared" ref="K54:P54" si="97">SUM(K45:K53)</f>
        <v>0</v>
      </c>
      <c r="L54" s="71">
        <f t="shared" si="97"/>
        <v>0</v>
      </c>
      <c r="M54" s="71">
        <f t="shared" si="97"/>
        <v>0</v>
      </c>
      <c r="N54" s="71">
        <f t="shared" si="97"/>
        <v>0</v>
      </c>
      <c r="O54" s="71">
        <f t="shared" si="97"/>
        <v>0</v>
      </c>
      <c r="P54" s="71">
        <f t="shared" si="97"/>
        <v>0</v>
      </c>
      <c r="Q54" s="21"/>
      <c r="R54" s="68"/>
      <c r="S54" s="68"/>
      <c r="T54" s="68"/>
      <c r="U54" s="68"/>
      <c r="V54" s="68"/>
      <c r="W54" s="68"/>
      <c r="X54" s="21"/>
      <c r="Y54" s="68"/>
      <c r="Z54" s="68"/>
      <c r="AA54" s="68"/>
      <c r="AB54" s="68"/>
      <c r="AC54" s="68"/>
      <c r="AD54" s="68"/>
      <c r="AE54" s="21"/>
      <c r="AF54" s="69"/>
      <c r="AG54" s="69"/>
      <c r="AH54" s="69"/>
      <c r="AI54" s="69"/>
      <c r="AJ54" s="69"/>
      <c r="AK54" s="21"/>
      <c r="AL54" s="69"/>
      <c r="AM54" s="69"/>
      <c r="AN54" s="69"/>
      <c r="AO54" s="69"/>
      <c r="AP54" s="69"/>
      <c r="AQ54" s="21"/>
    </row>
    <row r="55" spans="1:43" ht="15.75" customHeight="1">
      <c r="A55" s="21"/>
      <c r="B55" s="21"/>
      <c r="C55" s="70" t="s">
        <v>308</v>
      </c>
      <c r="D55" s="71">
        <f t="shared" ref="D55:I55" si="98">D43+D54</f>
        <v>0</v>
      </c>
      <c r="E55" s="71">
        <f t="shared" si="98"/>
        <v>0</v>
      </c>
      <c r="F55" s="71">
        <f t="shared" si="98"/>
        <v>0</v>
      </c>
      <c r="G55" s="71">
        <f t="shared" si="98"/>
        <v>0</v>
      </c>
      <c r="H55" s="71">
        <f t="shared" si="98"/>
        <v>0</v>
      </c>
      <c r="I55" s="71">
        <f t="shared" si="98"/>
        <v>0</v>
      </c>
      <c r="J55" s="21"/>
      <c r="K55" s="71">
        <f t="shared" ref="K55:P55" si="99">K43+K54</f>
        <v>0</v>
      </c>
      <c r="L55" s="71">
        <f t="shared" si="99"/>
        <v>0</v>
      </c>
      <c r="M55" s="71">
        <f t="shared" si="99"/>
        <v>0</v>
      </c>
      <c r="N55" s="71">
        <f t="shared" si="99"/>
        <v>0</v>
      </c>
      <c r="O55" s="71">
        <f t="shared" si="99"/>
        <v>0</v>
      </c>
      <c r="P55" s="71">
        <f t="shared" si="99"/>
        <v>0</v>
      </c>
      <c r="Q55" s="21"/>
      <c r="R55" s="68"/>
      <c r="S55" s="68"/>
      <c r="T55" s="68"/>
      <c r="U55" s="68"/>
      <c r="V55" s="68"/>
      <c r="W55" s="68"/>
      <c r="X55" s="21"/>
      <c r="Y55" s="68"/>
      <c r="Z55" s="68"/>
      <c r="AA55" s="68"/>
      <c r="AB55" s="68"/>
      <c r="AC55" s="68"/>
      <c r="AD55" s="68"/>
      <c r="AE55" s="21"/>
      <c r="AF55" s="69"/>
      <c r="AG55" s="69"/>
      <c r="AH55" s="69"/>
      <c r="AI55" s="69"/>
      <c r="AJ55" s="69"/>
      <c r="AK55" s="21"/>
      <c r="AL55" s="69"/>
      <c r="AM55" s="69"/>
      <c r="AN55" s="69"/>
      <c r="AO55" s="69"/>
      <c r="AP55" s="69"/>
      <c r="AQ55" s="21"/>
    </row>
    <row r="56" spans="1:43" ht="15.75" customHeight="1">
      <c r="A56" s="21"/>
      <c r="B56" s="21"/>
      <c r="C56" s="11" t="s">
        <v>309</v>
      </c>
      <c r="D56" s="65"/>
      <c r="E56" s="65"/>
      <c r="F56" s="65"/>
      <c r="G56" s="65"/>
      <c r="H56" s="65"/>
      <c r="I56" s="65"/>
      <c r="J56" s="21"/>
      <c r="K56" s="65"/>
      <c r="L56" s="65"/>
      <c r="M56" s="65"/>
      <c r="N56" s="65"/>
      <c r="O56" s="65"/>
      <c r="P56" s="65"/>
      <c r="Q56" s="21"/>
      <c r="R56" s="65"/>
      <c r="S56" s="65"/>
      <c r="T56" s="65"/>
      <c r="U56" s="65"/>
      <c r="V56" s="65"/>
      <c r="W56" s="65"/>
      <c r="X56" s="21"/>
      <c r="Y56" s="65"/>
      <c r="Z56" s="65"/>
      <c r="AA56" s="65"/>
      <c r="AB56" s="65"/>
      <c r="AC56" s="65"/>
      <c r="AD56" s="65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</row>
    <row r="57" spans="1:43" ht="15.75" customHeight="1">
      <c r="A57" s="21"/>
      <c r="B57" s="21"/>
      <c r="C57" s="9" t="s">
        <v>310</v>
      </c>
      <c r="D57" s="67"/>
      <c r="E57" s="67"/>
      <c r="F57" s="67"/>
      <c r="G57" s="67"/>
      <c r="H57" s="67"/>
      <c r="I57" s="67"/>
      <c r="J57" s="21"/>
      <c r="K57" s="67"/>
      <c r="L57" s="67"/>
      <c r="M57" s="67"/>
      <c r="N57" s="67"/>
      <c r="O57" s="67"/>
      <c r="P57" s="67"/>
      <c r="Q57" s="21"/>
      <c r="R57" s="68" t="str">
        <f t="shared" ref="R57:W62" si="100">IFERROR(D57/D$31,"")</f>
        <v/>
      </c>
      <c r="S57" s="68" t="str">
        <f t="shared" si="100"/>
        <v/>
      </c>
      <c r="T57" s="68" t="str">
        <f t="shared" si="100"/>
        <v/>
      </c>
      <c r="U57" s="68" t="str">
        <f t="shared" si="100"/>
        <v/>
      </c>
      <c r="V57" s="68" t="str">
        <f t="shared" si="100"/>
        <v/>
      </c>
      <c r="W57" s="68" t="str">
        <f t="shared" si="100"/>
        <v/>
      </c>
      <c r="X57" s="21"/>
      <c r="Y57" s="68" t="str">
        <f t="shared" ref="Y57:AD62" si="101">IFERROR(K57/K$31,"")</f>
        <v/>
      </c>
      <c r="Z57" s="68" t="str">
        <f t="shared" si="101"/>
        <v/>
      </c>
      <c r="AA57" s="68" t="str">
        <f t="shared" si="101"/>
        <v/>
      </c>
      <c r="AB57" s="68" t="str">
        <f t="shared" si="101"/>
        <v/>
      </c>
      <c r="AC57" s="68" t="str">
        <f t="shared" si="101"/>
        <v/>
      </c>
      <c r="AD57" s="68" t="str">
        <f t="shared" si="101"/>
        <v/>
      </c>
      <c r="AE57" s="21"/>
      <c r="AF57" s="69" t="str">
        <f t="shared" ref="AF57:AJ62" si="102">IF(OR(D57="",D57=0),"",IFERROR(E57/D57-1,""))</f>
        <v/>
      </c>
      <c r="AG57" s="69" t="str">
        <f t="shared" si="102"/>
        <v/>
      </c>
      <c r="AH57" s="69" t="str">
        <f t="shared" si="102"/>
        <v/>
      </c>
      <c r="AI57" s="69" t="str">
        <f t="shared" si="102"/>
        <v/>
      </c>
      <c r="AJ57" s="69" t="str">
        <f t="shared" si="102"/>
        <v/>
      </c>
      <c r="AK57" s="21"/>
      <c r="AL57" s="69" t="str">
        <f t="shared" ref="AL57:AP62" si="103">IF(OR(K57="",K57=0),"",IFERROR(L57/K57-1,""))</f>
        <v/>
      </c>
      <c r="AM57" s="69" t="str">
        <f t="shared" si="103"/>
        <v/>
      </c>
      <c r="AN57" s="69" t="str">
        <f t="shared" si="103"/>
        <v/>
      </c>
      <c r="AO57" s="69" t="str">
        <f t="shared" si="103"/>
        <v/>
      </c>
      <c r="AP57" s="69" t="str">
        <f t="shared" si="103"/>
        <v/>
      </c>
      <c r="AQ57" s="21"/>
    </row>
    <row r="58" spans="1:43" ht="15.75" customHeight="1">
      <c r="A58" s="21"/>
      <c r="B58" s="21"/>
      <c r="C58" s="9" t="s">
        <v>311</v>
      </c>
      <c r="D58" s="67"/>
      <c r="E58" s="67"/>
      <c r="F58" s="67"/>
      <c r="G58" s="67"/>
      <c r="H58" s="67"/>
      <c r="I58" s="67"/>
      <c r="J58" s="21"/>
      <c r="K58" s="67"/>
      <c r="L58" s="67"/>
      <c r="M58" s="67"/>
      <c r="N58" s="67"/>
      <c r="O58" s="67"/>
      <c r="P58" s="67"/>
      <c r="Q58" s="21"/>
      <c r="R58" s="68" t="str">
        <f t="shared" si="100"/>
        <v/>
      </c>
      <c r="S58" s="68" t="str">
        <f t="shared" si="100"/>
        <v/>
      </c>
      <c r="T58" s="68" t="str">
        <f t="shared" si="100"/>
        <v/>
      </c>
      <c r="U58" s="68" t="str">
        <f t="shared" si="100"/>
        <v/>
      </c>
      <c r="V58" s="68" t="str">
        <f t="shared" si="100"/>
        <v/>
      </c>
      <c r="W58" s="68" t="str">
        <f t="shared" si="100"/>
        <v/>
      </c>
      <c r="X58" s="21"/>
      <c r="Y58" s="68" t="str">
        <f t="shared" si="101"/>
        <v/>
      </c>
      <c r="Z58" s="68" t="str">
        <f t="shared" si="101"/>
        <v/>
      </c>
      <c r="AA58" s="68" t="str">
        <f t="shared" si="101"/>
        <v/>
      </c>
      <c r="AB58" s="68" t="str">
        <f t="shared" si="101"/>
        <v/>
      </c>
      <c r="AC58" s="68" t="str">
        <f t="shared" si="101"/>
        <v/>
      </c>
      <c r="AD58" s="68" t="str">
        <f t="shared" si="101"/>
        <v/>
      </c>
      <c r="AE58" s="21"/>
      <c r="AF58" s="69" t="str">
        <f t="shared" si="102"/>
        <v/>
      </c>
      <c r="AG58" s="69" t="str">
        <f t="shared" si="102"/>
        <v/>
      </c>
      <c r="AH58" s="69" t="str">
        <f t="shared" si="102"/>
        <v/>
      </c>
      <c r="AI58" s="69" t="str">
        <f t="shared" si="102"/>
        <v/>
      </c>
      <c r="AJ58" s="69" t="str">
        <f t="shared" si="102"/>
        <v/>
      </c>
      <c r="AK58" s="21"/>
      <c r="AL58" s="69" t="str">
        <f t="shared" si="103"/>
        <v/>
      </c>
      <c r="AM58" s="69" t="str">
        <f t="shared" si="103"/>
        <v/>
      </c>
      <c r="AN58" s="69" t="str">
        <f t="shared" si="103"/>
        <v/>
      </c>
      <c r="AO58" s="69" t="str">
        <f t="shared" si="103"/>
        <v/>
      </c>
      <c r="AP58" s="69" t="str">
        <f t="shared" si="103"/>
        <v/>
      </c>
      <c r="AQ58" s="21"/>
    </row>
    <row r="59" spans="1:43" ht="15.75" customHeight="1">
      <c r="A59" s="21"/>
      <c r="B59" s="21"/>
      <c r="C59" s="9" t="s">
        <v>312</v>
      </c>
      <c r="D59" s="67"/>
      <c r="E59" s="67"/>
      <c r="F59" s="67"/>
      <c r="G59" s="67"/>
      <c r="H59" s="67"/>
      <c r="I59" s="67"/>
      <c r="J59" s="21"/>
      <c r="K59" s="67"/>
      <c r="L59" s="67"/>
      <c r="M59" s="67"/>
      <c r="N59" s="67"/>
      <c r="O59" s="67"/>
      <c r="P59" s="67"/>
      <c r="Q59" s="21"/>
      <c r="R59" s="68" t="str">
        <f t="shared" si="100"/>
        <v/>
      </c>
      <c r="S59" s="68" t="str">
        <f t="shared" si="100"/>
        <v/>
      </c>
      <c r="T59" s="68" t="str">
        <f t="shared" si="100"/>
        <v/>
      </c>
      <c r="U59" s="68" t="str">
        <f t="shared" si="100"/>
        <v/>
      </c>
      <c r="V59" s="68" t="str">
        <f t="shared" si="100"/>
        <v/>
      </c>
      <c r="W59" s="68" t="str">
        <f t="shared" si="100"/>
        <v/>
      </c>
      <c r="X59" s="21"/>
      <c r="Y59" s="68" t="str">
        <f t="shared" si="101"/>
        <v/>
      </c>
      <c r="Z59" s="68" t="str">
        <f t="shared" si="101"/>
        <v/>
      </c>
      <c r="AA59" s="68" t="str">
        <f t="shared" si="101"/>
        <v/>
      </c>
      <c r="AB59" s="68" t="str">
        <f t="shared" si="101"/>
        <v/>
      </c>
      <c r="AC59" s="68" t="str">
        <f t="shared" si="101"/>
        <v/>
      </c>
      <c r="AD59" s="68" t="str">
        <f t="shared" si="101"/>
        <v/>
      </c>
      <c r="AE59" s="21"/>
      <c r="AF59" s="69" t="str">
        <f t="shared" si="102"/>
        <v/>
      </c>
      <c r="AG59" s="69" t="str">
        <f t="shared" si="102"/>
        <v/>
      </c>
      <c r="AH59" s="69" t="str">
        <f t="shared" si="102"/>
        <v/>
      </c>
      <c r="AI59" s="69" t="str">
        <f t="shared" si="102"/>
        <v/>
      </c>
      <c r="AJ59" s="69" t="str">
        <f t="shared" si="102"/>
        <v/>
      </c>
      <c r="AK59" s="21"/>
      <c r="AL59" s="69" t="str">
        <f t="shared" si="103"/>
        <v/>
      </c>
      <c r="AM59" s="69" t="str">
        <f t="shared" si="103"/>
        <v/>
      </c>
      <c r="AN59" s="69" t="str">
        <f t="shared" si="103"/>
        <v/>
      </c>
      <c r="AO59" s="69" t="str">
        <f t="shared" si="103"/>
        <v/>
      </c>
      <c r="AP59" s="69" t="str">
        <f t="shared" si="103"/>
        <v/>
      </c>
      <c r="AQ59" s="21"/>
    </row>
    <row r="60" spans="1:43" ht="15.75" customHeight="1">
      <c r="A60" s="21"/>
      <c r="B60" s="21"/>
      <c r="C60" s="9" t="s">
        <v>313</v>
      </c>
      <c r="D60" s="67"/>
      <c r="E60" s="67"/>
      <c r="F60" s="67"/>
      <c r="G60" s="67"/>
      <c r="H60" s="67"/>
      <c r="I60" s="67"/>
      <c r="J60" s="21"/>
      <c r="K60" s="67"/>
      <c r="L60" s="67"/>
      <c r="M60" s="67"/>
      <c r="N60" s="67"/>
      <c r="O60" s="67"/>
      <c r="P60" s="67"/>
      <c r="Q60" s="21"/>
      <c r="R60" s="68" t="str">
        <f t="shared" si="100"/>
        <v/>
      </c>
      <c r="S60" s="68" t="str">
        <f t="shared" si="100"/>
        <v/>
      </c>
      <c r="T60" s="68" t="str">
        <f t="shared" si="100"/>
        <v/>
      </c>
      <c r="U60" s="68" t="str">
        <f t="shared" si="100"/>
        <v/>
      </c>
      <c r="V60" s="68" t="str">
        <f t="shared" si="100"/>
        <v/>
      </c>
      <c r="W60" s="68" t="str">
        <f t="shared" si="100"/>
        <v/>
      </c>
      <c r="X60" s="21"/>
      <c r="Y60" s="68" t="str">
        <f t="shared" si="101"/>
        <v/>
      </c>
      <c r="Z60" s="68" t="str">
        <f t="shared" si="101"/>
        <v/>
      </c>
      <c r="AA60" s="68" t="str">
        <f t="shared" si="101"/>
        <v/>
      </c>
      <c r="AB60" s="68" t="str">
        <f t="shared" si="101"/>
        <v/>
      </c>
      <c r="AC60" s="68" t="str">
        <f t="shared" si="101"/>
        <v/>
      </c>
      <c r="AD60" s="68" t="str">
        <f t="shared" si="101"/>
        <v/>
      </c>
      <c r="AE60" s="21"/>
      <c r="AF60" s="69" t="str">
        <f t="shared" si="102"/>
        <v/>
      </c>
      <c r="AG60" s="69" t="str">
        <f t="shared" si="102"/>
        <v/>
      </c>
      <c r="AH60" s="69" t="str">
        <f t="shared" si="102"/>
        <v/>
      </c>
      <c r="AI60" s="69" t="str">
        <f t="shared" si="102"/>
        <v/>
      </c>
      <c r="AJ60" s="69" t="str">
        <f t="shared" si="102"/>
        <v/>
      </c>
      <c r="AK60" s="21"/>
      <c r="AL60" s="69" t="str">
        <f t="shared" si="103"/>
        <v/>
      </c>
      <c r="AM60" s="69" t="str">
        <f t="shared" si="103"/>
        <v/>
      </c>
      <c r="AN60" s="69" t="str">
        <f t="shared" si="103"/>
        <v/>
      </c>
      <c r="AO60" s="69" t="str">
        <f t="shared" si="103"/>
        <v/>
      </c>
      <c r="AP60" s="69" t="str">
        <f t="shared" si="103"/>
        <v/>
      </c>
      <c r="AQ60" s="21"/>
    </row>
    <row r="61" spans="1:43" ht="15.75" customHeight="1">
      <c r="A61" s="21"/>
      <c r="B61" s="21"/>
      <c r="C61" s="9" t="s">
        <v>314</v>
      </c>
      <c r="D61" s="67"/>
      <c r="E61" s="67"/>
      <c r="F61" s="67"/>
      <c r="G61" s="67"/>
      <c r="H61" s="67"/>
      <c r="I61" s="67"/>
      <c r="J61" s="21"/>
      <c r="K61" s="67"/>
      <c r="L61" s="67"/>
      <c r="M61" s="67"/>
      <c r="N61" s="67"/>
      <c r="O61" s="67"/>
      <c r="P61" s="67"/>
      <c r="Q61" s="21"/>
      <c r="R61" s="68" t="str">
        <f t="shared" si="100"/>
        <v/>
      </c>
      <c r="S61" s="68" t="str">
        <f t="shared" si="100"/>
        <v/>
      </c>
      <c r="T61" s="68" t="str">
        <f t="shared" si="100"/>
        <v/>
      </c>
      <c r="U61" s="68" t="str">
        <f t="shared" si="100"/>
        <v/>
      </c>
      <c r="V61" s="68" t="str">
        <f t="shared" si="100"/>
        <v/>
      </c>
      <c r="W61" s="68" t="str">
        <f t="shared" si="100"/>
        <v/>
      </c>
      <c r="X61" s="21"/>
      <c r="Y61" s="68" t="str">
        <f t="shared" si="101"/>
        <v/>
      </c>
      <c r="Z61" s="68" t="str">
        <f t="shared" si="101"/>
        <v/>
      </c>
      <c r="AA61" s="68" t="str">
        <f t="shared" si="101"/>
        <v/>
      </c>
      <c r="AB61" s="68" t="str">
        <f t="shared" si="101"/>
        <v/>
      </c>
      <c r="AC61" s="68" t="str">
        <f t="shared" si="101"/>
        <v/>
      </c>
      <c r="AD61" s="68" t="str">
        <f t="shared" si="101"/>
        <v/>
      </c>
      <c r="AE61" s="21"/>
      <c r="AF61" s="69" t="str">
        <f t="shared" si="102"/>
        <v/>
      </c>
      <c r="AG61" s="69" t="str">
        <f t="shared" si="102"/>
        <v/>
      </c>
      <c r="AH61" s="69" t="str">
        <f t="shared" si="102"/>
        <v/>
      </c>
      <c r="AI61" s="69" t="str">
        <f t="shared" si="102"/>
        <v/>
      </c>
      <c r="AJ61" s="69" t="str">
        <f t="shared" si="102"/>
        <v/>
      </c>
      <c r="AK61" s="21"/>
      <c r="AL61" s="69" t="str">
        <f t="shared" si="103"/>
        <v/>
      </c>
      <c r="AM61" s="69" t="str">
        <f t="shared" si="103"/>
        <v/>
      </c>
      <c r="AN61" s="69" t="str">
        <f t="shared" si="103"/>
        <v/>
      </c>
      <c r="AO61" s="69" t="str">
        <f t="shared" si="103"/>
        <v/>
      </c>
      <c r="AP61" s="69" t="str">
        <f t="shared" si="103"/>
        <v/>
      </c>
      <c r="AQ61" s="21"/>
    </row>
    <row r="62" spans="1:43" ht="15.75" customHeight="1">
      <c r="A62" s="21"/>
      <c r="B62" s="21"/>
      <c r="C62" s="9" t="s">
        <v>315</v>
      </c>
      <c r="D62" s="67"/>
      <c r="E62" s="67"/>
      <c r="F62" s="67"/>
      <c r="G62" s="67"/>
      <c r="H62" s="67"/>
      <c r="I62" s="67"/>
      <c r="J62" s="21"/>
      <c r="K62" s="67"/>
      <c r="L62" s="67"/>
      <c r="M62" s="67"/>
      <c r="N62" s="67"/>
      <c r="O62" s="67"/>
      <c r="P62" s="67"/>
      <c r="Q62" s="21"/>
      <c r="R62" s="68" t="str">
        <f t="shared" si="100"/>
        <v/>
      </c>
      <c r="S62" s="68" t="str">
        <f t="shared" si="100"/>
        <v/>
      </c>
      <c r="T62" s="68" t="str">
        <f t="shared" si="100"/>
        <v/>
      </c>
      <c r="U62" s="68" t="str">
        <f t="shared" si="100"/>
        <v/>
      </c>
      <c r="V62" s="68" t="str">
        <f t="shared" si="100"/>
        <v/>
      </c>
      <c r="W62" s="68" t="str">
        <f t="shared" si="100"/>
        <v/>
      </c>
      <c r="X62" s="21"/>
      <c r="Y62" s="68" t="str">
        <f t="shared" si="101"/>
        <v/>
      </c>
      <c r="Z62" s="68" t="str">
        <f t="shared" si="101"/>
        <v/>
      </c>
      <c r="AA62" s="68" t="str">
        <f t="shared" si="101"/>
        <v/>
      </c>
      <c r="AB62" s="68" t="str">
        <f t="shared" si="101"/>
        <v/>
      </c>
      <c r="AC62" s="68" t="str">
        <f t="shared" si="101"/>
        <v/>
      </c>
      <c r="AD62" s="68" t="str">
        <f t="shared" si="101"/>
        <v/>
      </c>
      <c r="AE62" s="21"/>
      <c r="AF62" s="69" t="str">
        <f t="shared" si="102"/>
        <v/>
      </c>
      <c r="AG62" s="69" t="str">
        <f t="shared" si="102"/>
        <v/>
      </c>
      <c r="AH62" s="69" t="str">
        <f t="shared" si="102"/>
        <v/>
      </c>
      <c r="AI62" s="69" t="str">
        <f t="shared" si="102"/>
        <v/>
      </c>
      <c r="AJ62" s="69" t="str">
        <f t="shared" si="102"/>
        <v/>
      </c>
      <c r="AK62" s="21"/>
      <c r="AL62" s="69" t="str">
        <f t="shared" si="103"/>
        <v/>
      </c>
      <c r="AM62" s="69" t="str">
        <f t="shared" si="103"/>
        <v/>
      </c>
      <c r="AN62" s="69" t="str">
        <f t="shared" si="103"/>
        <v/>
      </c>
      <c r="AO62" s="69" t="str">
        <f t="shared" si="103"/>
        <v/>
      </c>
      <c r="AP62" s="69" t="str">
        <f t="shared" si="103"/>
        <v/>
      </c>
      <c r="AQ62" s="21"/>
    </row>
    <row r="63" spans="1:43" ht="15.75" customHeight="1">
      <c r="A63" s="21"/>
      <c r="B63" s="21"/>
      <c r="C63" s="70" t="s">
        <v>316</v>
      </c>
      <c r="D63" s="71">
        <f t="shared" ref="D63:I63" si="104">SUM(D57:D62)</f>
        <v>0</v>
      </c>
      <c r="E63" s="71">
        <f t="shared" si="104"/>
        <v>0</v>
      </c>
      <c r="F63" s="71">
        <f t="shared" si="104"/>
        <v>0</v>
      </c>
      <c r="G63" s="71">
        <f t="shared" si="104"/>
        <v>0</v>
      </c>
      <c r="H63" s="71">
        <f t="shared" si="104"/>
        <v>0</v>
      </c>
      <c r="I63" s="71">
        <f t="shared" si="104"/>
        <v>0</v>
      </c>
      <c r="J63" s="21"/>
      <c r="K63" s="71">
        <f t="shared" ref="K63:P63" si="105">SUM(K57:K62)</f>
        <v>0</v>
      </c>
      <c r="L63" s="71">
        <f t="shared" si="105"/>
        <v>0</v>
      </c>
      <c r="M63" s="71">
        <f t="shared" si="105"/>
        <v>0</v>
      </c>
      <c r="N63" s="71">
        <f t="shared" si="105"/>
        <v>0</v>
      </c>
      <c r="O63" s="71">
        <f t="shared" si="105"/>
        <v>0</v>
      </c>
      <c r="P63" s="71">
        <f t="shared" si="105"/>
        <v>0</v>
      </c>
      <c r="Q63" s="21"/>
      <c r="R63" s="68"/>
      <c r="S63" s="68"/>
      <c r="T63" s="68"/>
      <c r="U63" s="68"/>
      <c r="V63" s="68"/>
      <c r="W63" s="68"/>
      <c r="X63" s="21"/>
      <c r="Y63" s="68"/>
      <c r="Z63" s="68"/>
      <c r="AA63" s="68"/>
      <c r="AB63" s="68"/>
      <c r="AC63" s="68"/>
      <c r="AD63" s="68"/>
      <c r="AE63" s="21"/>
      <c r="AF63" s="69"/>
      <c r="AG63" s="69"/>
      <c r="AH63" s="69"/>
      <c r="AI63" s="69"/>
      <c r="AJ63" s="69"/>
      <c r="AK63" s="21"/>
      <c r="AL63" s="69"/>
      <c r="AM63" s="69"/>
      <c r="AN63" s="69"/>
      <c r="AO63" s="69"/>
      <c r="AP63" s="69"/>
      <c r="AQ63" s="21"/>
    </row>
    <row r="64" spans="1:43" ht="15.75" customHeight="1">
      <c r="A64" s="21"/>
      <c r="B64" s="21"/>
      <c r="C64" s="70" t="s">
        <v>317</v>
      </c>
      <c r="D64" s="71">
        <f t="shared" ref="D64:I64" si="106">D55+D63</f>
        <v>0</v>
      </c>
      <c r="E64" s="71">
        <f t="shared" si="106"/>
        <v>0</v>
      </c>
      <c r="F64" s="71">
        <f t="shared" si="106"/>
        <v>0</v>
      </c>
      <c r="G64" s="71">
        <f t="shared" si="106"/>
        <v>0</v>
      </c>
      <c r="H64" s="71">
        <f t="shared" si="106"/>
        <v>0</v>
      </c>
      <c r="I64" s="71">
        <f t="shared" si="106"/>
        <v>0</v>
      </c>
      <c r="J64" s="21"/>
      <c r="K64" s="71">
        <f t="shared" ref="K64:P64" si="107">K55+K63</f>
        <v>0</v>
      </c>
      <c r="L64" s="71">
        <f t="shared" si="107"/>
        <v>0</v>
      </c>
      <c r="M64" s="71">
        <f t="shared" si="107"/>
        <v>0</v>
      </c>
      <c r="N64" s="71">
        <f t="shared" si="107"/>
        <v>0</v>
      </c>
      <c r="O64" s="71">
        <f t="shared" si="107"/>
        <v>0</v>
      </c>
      <c r="P64" s="71">
        <f t="shared" si="107"/>
        <v>0</v>
      </c>
      <c r="Q64" s="21"/>
      <c r="R64" s="68"/>
      <c r="S64" s="68"/>
      <c r="T64" s="68"/>
      <c r="U64" s="68"/>
      <c r="V64" s="68"/>
      <c r="W64" s="68"/>
      <c r="X64" s="21"/>
      <c r="Y64" s="68"/>
      <c r="Z64" s="68"/>
      <c r="AA64" s="68"/>
      <c r="AB64" s="68"/>
      <c r="AC64" s="68"/>
      <c r="AD64" s="68"/>
      <c r="AE64" s="21"/>
      <c r="AF64" s="69"/>
      <c r="AG64" s="69"/>
      <c r="AH64" s="69"/>
      <c r="AI64" s="69"/>
      <c r="AJ64" s="69"/>
      <c r="AK64" s="21"/>
      <c r="AL64" s="69"/>
      <c r="AM64" s="69"/>
      <c r="AN64" s="69"/>
      <c r="AO64" s="69"/>
      <c r="AP64" s="69"/>
      <c r="AQ64" s="21"/>
    </row>
    <row r="65" spans="1:43" ht="15" customHeight="1">
      <c r="A65" s="21"/>
      <c r="B65" s="21"/>
      <c r="C65" s="72" t="s">
        <v>318</v>
      </c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73" t="str">
        <f>IF(COUNT(AF7:AF64)=0,"",COUNTIF(AF7:AF64,"&gt;=0.3")+COUNTIF(AF7:AF64,"&lt;=-0.3"))</f>
        <v/>
      </c>
      <c r="AG65" s="73" t="str">
        <f t="shared" ref="AG65:AP65" si="108">IF(COUNT(AG7:AG64)=0,"",COUNTIF(AG7:AG64,"&gt;=0.3")+COUNTIF(AG7:AG64,"&lt;=-0.3"))</f>
        <v/>
      </c>
      <c r="AH65" s="73" t="str">
        <f t="shared" si="108"/>
        <v/>
      </c>
      <c r="AI65" s="73" t="str">
        <f t="shared" si="108"/>
        <v/>
      </c>
      <c r="AJ65" s="73" t="str">
        <f t="shared" si="108"/>
        <v/>
      </c>
      <c r="AK65" s="73" t="str">
        <f t="shared" si="108"/>
        <v/>
      </c>
      <c r="AL65" s="73" t="str">
        <f t="shared" si="108"/>
        <v/>
      </c>
      <c r="AM65" s="73" t="str">
        <f t="shared" si="108"/>
        <v/>
      </c>
      <c r="AN65" s="73" t="str">
        <f t="shared" si="108"/>
        <v/>
      </c>
      <c r="AO65" s="73" t="str">
        <f t="shared" si="108"/>
        <v/>
      </c>
      <c r="AP65" s="73" t="str">
        <f t="shared" si="108"/>
        <v/>
      </c>
      <c r="AQ65" s="21"/>
    </row>
    <row r="66" spans="1:43" ht="15.75" customHeight="1">
      <c r="A66" s="21"/>
      <c r="B66" s="21"/>
      <c r="C66" s="74" t="s">
        <v>319</v>
      </c>
      <c r="D66" s="75" t="str">
        <f t="shared" ref="D66:I66" si="109">IF(D31=0,"미입력",IF(ABS(D31-D64)&lt;1,"OK","불일치"))</f>
        <v>미입력</v>
      </c>
      <c r="E66" s="75" t="str">
        <f t="shared" si="109"/>
        <v>미입력</v>
      </c>
      <c r="F66" s="75" t="str">
        <f t="shared" si="109"/>
        <v>미입력</v>
      </c>
      <c r="G66" s="75" t="str">
        <f t="shared" si="109"/>
        <v>미입력</v>
      </c>
      <c r="H66" s="75" t="str">
        <f t="shared" si="109"/>
        <v>미입력</v>
      </c>
      <c r="I66" s="75" t="str">
        <f t="shared" si="109"/>
        <v>미입력</v>
      </c>
      <c r="J66" s="21"/>
      <c r="K66" s="75" t="str">
        <f t="shared" ref="K66:P66" si="110">IF(K31=0,"미입력",IF(ABS(K31-K64)&lt;1,"OK","불일치"))</f>
        <v>미입력</v>
      </c>
      <c r="L66" s="75" t="str">
        <f t="shared" si="110"/>
        <v>미입력</v>
      </c>
      <c r="M66" s="75" t="str">
        <f t="shared" si="110"/>
        <v>미입력</v>
      </c>
      <c r="N66" s="75" t="str">
        <f t="shared" si="110"/>
        <v>미입력</v>
      </c>
      <c r="O66" s="75" t="str">
        <f t="shared" si="110"/>
        <v>미입력</v>
      </c>
      <c r="P66" s="75" t="str">
        <f t="shared" si="110"/>
        <v>미입력</v>
      </c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</row>
    <row r="67" spans="1:43" ht="15.75" customHeight="1">
      <c r="A67" s="21"/>
      <c r="B67" s="21"/>
      <c r="C67" s="70" t="s">
        <v>320</v>
      </c>
      <c r="D67" s="68" t="str">
        <f>IFERROR(D55/D63,"")</f>
        <v/>
      </c>
      <c r="E67" s="68" t="str">
        <f t="shared" ref="E67:I67" si="111">IFERROR(E55/E63,"")</f>
        <v/>
      </c>
      <c r="F67" s="68" t="str">
        <f t="shared" si="111"/>
        <v/>
      </c>
      <c r="G67" s="68" t="str">
        <f t="shared" si="111"/>
        <v/>
      </c>
      <c r="H67" s="68" t="str">
        <f t="shared" si="111"/>
        <v/>
      </c>
      <c r="I67" s="68" t="str">
        <f t="shared" si="111"/>
        <v/>
      </c>
      <c r="J67" s="21"/>
      <c r="K67" s="68" t="str">
        <f t="shared" ref="K67:P67" si="112">IFERROR(K55/K63,"")</f>
        <v/>
      </c>
      <c r="L67" s="68" t="str">
        <f t="shared" si="112"/>
        <v/>
      </c>
      <c r="M67" s="68" t="str">
        <f t="shared" si="112"/>
        <v/>
      </c>
      <c r="N67" s="68" t="str">
        <f t="shared" si="112"/>
        <v/>
      </c>
      <c r="O67" s="68" t="str">
        <f t="shared" si="112"/>
        <v/>
      </c>
      <c r="P67" s="68" t="str">
        <f t="shared" si="112"/>
        <v/>
      </c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</row>
    <row r="68" spans="1:43" ht="1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</row>
    <row r="69" spans="1:43" ht="18.75" customHeight="1">
      <c r="A69" s="21"/>
      <c r="B69" s="21"/>
      <c r="C69" s="147" t="s">
        <v>321</v>
      </c>
      <c r="D69" s="147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</row>
    <row r="70" spans="1:43" ht="139.5" customHeight="1">
      <c r="A70" s="21"/>
      <c r="B70" s="21"/>
      <c r="C70" s="161"/>
      <c r="D70" s="161"/>
      <c r="E70" s="161"/>
      <c r="F70" s="161"/>
      <c r="G70" s="161"/>
      <c r="H70" s="161"/>
      <c r="I70" s="161"/>
      <c r="J70" s="21"/>
      <c r="K70" s="162"/>
      <c r="L70" s="162"/>
      <c r="M70" s="162"/>
      <c r="N70" s="162"/>
      <c r="O70" s="162"/>
      <c r="P70" s="162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</row>
  </sheetData>
  <mergeCells count="19">
    <mergeCell ref="B1:G1"/>
    <mergeCell ref="B2:J2"/>
    <mergeCell ref="D4:I4"/>
    <mergeCell ref="K4:P4"/>
    <mergeCell ref="R4:W4"/>
    <mergeCell ref="Y4:AD4"/>
    <mergeCell ref="AF4:AJ4"/>
    <mergeCell ref="AL4:AP4"/>
    <mergeCell ref="AR4:AY4"/>
    <mergeCell ref="AR6:BA6"/>
    <mergeCell ref="AR18:BC18"/>
    <mergeCell ref="C69:D69"/>
    <mergeCell ref="C70:I70"/>
    <mergeCell ref="K70:P70"/>
    <mergeCell ref="AR8:BB8"/>
    <mergeCell ref="AR10:BC10"/>
    <mergeCell ref="AR12:BB12"/>
    <mergeCell ref="AR14:BC14"/>
    <mergeCell ref="AR16:BC16"/>
  </mergeCells>
  <phoneticPr fontId="63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J23"/>
  <sheetViews>
    <sheetView showGridLines="0" topLeftCell="A9" zoomScaleNormal="100" workbookViewId="0">
      <selection activeCell="D5" sqref="D5:E13"/>
    </sheetView>
  </sheetViews>
  <sheetFormatPr defaultColWidth="8.73046875" defaultRowHeight="14.25"/>
  <cols>
    <col min="2" max="2" width="3" customWidth="1"/>
    <col min="3" max="3" width="32.86328125" customWidth="1"/>
    <col min="4" max="4" width="67" customWidth="1"/>
    <col min="5" max="5" width="85.59765625" customWidth="1"/>
  </cols>
  <sheetData>
    <row r="1" spans="1:10" ht="25.5" customHeight="1">
      <c r="A1" s="21"/>
      <c r="B1" s="144" t="s">
        <v>322</v>
      </c>
      <c r="C1" s="144"/>
      <c r="D1" s="144"/>
      <c r="E1" s="21"/>
      <c r="F1" s="21"/>
      <c r="G1" s="21"/>
      <c r="H1" s="21"/>
      <c r="I1" s="21"/>
      <c r="J1" s="21"/>
    </row>
    <row r="2" spans="1:10" ht="27.75" customHeight="1">
      <c r="A2" s="21"/>
      <c r="B2" s="145" t="s">
        <v>323</v>
      </c>
      <c r="C2" s="145"/>
      <c r="D2" s="145"/>
      <c r="E2" s="145"/>
      <c r="F2" s="21"/>
      <c r="G2" s="21"/>
      <c r="H2" s="21"/>
      <c r="I2" s="21"/>
      <c r="J2" s="21"/>
    </row>
    <row r="3" spans="1:10" ht="15" customHeight="1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0" ht="16.5" customHeight="1">
      <c r="A4" s="21"/>
      <c r="B4" s="21"/>
      <c r="C4" s="22" t="s">
        <v>24</v>
      </c>
      <c r="D4" s="22" t="s">
        <v>25</v>
      </c>
      <c r="E4" s="22" t="s">
        <v>26</v>
      </c>
      <c r="F4" s="21"/>
      <c r="G4" s="21"/>
      <c r="H4" s="21"/>
      <c r="I4" s="21"/>
      <c r="J4" s="21"/>
    </row>
    <row r="5" spans="1:10" ht="204.75" customHeight="1">
      <c r="A5" s="21"/>
      <c r="B5" s="21"/>
      <c r="C5" s="76" t="s">
        <v>324</v>
      </c>
      <c r="D5" s="128"/>
      <c r="E5" s="128"/>
      <c r="F5" s="164" t="s">
        <v>325</v>
      </c>
      <c r="G5" s="164"/>
      <c r="H5" s="164"/>
      <c r="I5" s="164"/>
      <c r="J5" s="164"/>
    </row>
    <row r="6" spans="1:10" ht="218.25" customHeight="1">
      <c r="A6" s="21"/>
      <c r="B6" s="21"/>
      <c r="C6" s="77" t="s">
        <v>326</v>
      </c>
      <c r="D6" s="124"/>
      <c r="E6" s="122"/>
      <c r="F6" s="164" t="s">
        <v>327</v>
      </c>
      <c r="G6" s="164"/>
      <c r="H6" s="164"/>
      <c r="I6" s="164"/>
      <c r="J6" s="164"/>
    </row>
    <row r="7" spans="1:10" ht="188.25" customHeight="1">
      <c r="A7" s="21"/>
      <c r="B7" s="21"/>
      <c r="C7" s="76" t="s">
        <v>328</v>
      </c>
      <c r="D7" s="122"/>
      <c r="E7" s="122"/>
      <c r="F7" s="164" t="s">
        <v>329</v>
      </c>
      <c r="G7" s="164"/>
      <c r="H7" s="164"/>
      <c r="I7" s="164"/>
      <c r="J7" s="164"/>
    </row>
    <row r="8" spans="1:10" ht="207" customHeight="1">
      <c r="A8" s="21"/>
      <c r="B8" s="21"/>
      <c r="C8" s="76" t="s">
        <v>330</v>
      </c>
      <c r="D8" s="122"/>
      <c r="E8" s="122"/>
      <c r="F8" s="164" t="s">
        <v>331</v>
      </c>
      <c r="G8" s="164"/>
      <c r="H8" s="164"/>
      <c r="I8" s="164"/>
      <c r="J8" s="164"/>
    </row>
    <row r="9" spans="1:10" ht="211.5" customHeight="1">
      <c r="A9" s="21"/>
      <c r="B9" s="21"/>
      <c r="C9" s="76" t="s">
        <v>332</v>
      </c>
      <c r="D9" s="122"/>
      <c r="E9" s="123"/>
      <c r="F9" s="164" t="s">
        <v>333</v>
      </c>
      <c r="G9" s="164"/>
      <c r="H9" s="164"/>
      <c r="I9" s="164"/>
      <c r="J9" s="164"/>
    </row>
    <row r="10" spans="1:10" ht="243" customHeight="1">
      <c r="A10" s="21"/>
      <c r="B10" s="21"/>
      <c r="C10" s="76" t="s">
        <v>334</v>
      </c>
      <c r="D10" s="122"/>
      <c r="E10" s="122"/>
      <c r="F10" s="164"/>
      <c r="G10" s="164"/>
      <c r="H10" s="164"/>
      <c r="I10" s="164"/>
      <c r="J10" s="164"/>
    </row>
    <row r="11" spans="1:10" ht="239.25" customHeight="1">
      <c r="A11" s="21"/>
      <c r="B11" s="21"/>
      <c r="C11" s="76" t="s">
        <v>335</v>
      </c>
      <c r="D11" s="122"/>
      <c r="E11" s="122"/>
      <c r="F11" s="164"/>
      <c r="G11" s="164"/>
      <c r="H11" s="164"/>
      <c r="I11" s="164"/>
      <c r="J11" s="164"/>
    </row>
    <row r="12" spans="1:10" ht="217.5" customHeight="1">
      <c r="A12" s="21"/>
      <c r="B12" s="21"/>
      <c r="C12" s="76" t="s">
        <v>336</v>
      </c>
      <c r="D12" s="124"/>
      <c r="E12" s="122"/>
      <c r="F12" s="166" t="s">
        <v>337</v>
      </c>
      <c r="G12" s="166"/>
      <c r="H12" s="166"/>
      <c r="I12" s="166"/>
      <c r="J12" s="166"/>
    </row>
    <row r="13" spans="1:10" ht="221.25" customHeight="1">
      <c r="A13" s="21"/>
      <c r="B13" s="21"/>
      <c r="C13" s="76" t="s">
        <v>338</v>
      </c>
      <c r="D13" s="122"/>
      <c r="E13" s="123"/>
      <c r="F13" s="164" t="s">
        <v>339</v>
      </c>
      <c r="G13" s="164"/>
      <c r="H13" s="164"/>
      <c r="I13" s="164"/>
      <c r="J13" s="164"/>
    </row>
    <row r="14" spans="1:10" ht="16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</row>
    <row r="15" spans="1:10" ht="16.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</row>
    <row r="16" spans="1:10" ht="16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</row>
    <row r="17" spans="1:10" ht="16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</row>
    <row r="18" spans="1:10" ht="16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</row>
    <row r="19" spans="1:10" ht="16.5" customHeight="1">
      <c r="A19" s="21"/>
      <c r="B19" s="21"/>
      <c r="C19" s="21"/>
      <c r="D19" s="21"/>
      <c r="E19" s="165"/>
      <c r="F19" s="165"/>
      <c r="G19" s="21"/>
      <c r="H19" s="21"/>
      <c r="I19" s="21"/>
      <c r="J19" s="21"/>
    </row>
    <row r="20" spans="1:10" ht="16.5" customHeight="1">
      <c r="A20" s="21"/>
      <c r="B20" s="21"/>
      <c r="C20" s="21"/>
      <c r="D20" s="78"/>
      <c r="E20" s="165"/>
      <c r="F20" s="165"/>
      <c r="G20" s="21"/>
      <c r="H20" s="21"/>
      <c r="I20" s="21"/>
      <c r="J20" s="21"/>
    </row>
    <row r="21" spans="1:10" ht="16.5" customHeight="1">
      <c r="A21" s="21"/>
      <c r="B21" s="21"/>
      <c r="C21" s="21"/>
      <c r="D21" s="78"/>
      <c r="E21" s="21"/>
      <c r="F21" s="21"/>
      <c r="G21" s="21"/>
      <c r="H21" s="21"/>
      <c r="I21" s="21"/>
      <c r="J21" s="21"/>
    </row>
    <row r="22" spans="1:10" ht="16.5" customHeight="1">
      <c r="A22" s="21"/>
      <c r="B22" s="21"/>
      <c r="C22" s="21"/>
      <c r="D22" s="78"/>
      <c r="E22" s="21"/>
      <c r="F22" s="21"/>
      <c r="G22" s="21"/>
      <c r="H22" s="21"/>
      <c r="I22" s="21"/>
      <c r="J22" s="21"/>
    </row>
    <row r="23" spans="1:10" ht="16.5" customHeight="1">
      <c r="A23" s="21"/>
      <c r="B23" s="21"/>
      <c r="C23" s="21"/>
      <c r="D23" s="78"/>
      <c r="E23" s="165"/>
      <c r="F23" s="165"/>
      <c r="G23" s="21"/>
      <c r="H23" s="21"/>
      <c r="I23" s="21"/>
      <c r="J23" s="21"/>
    </row>
  </sheetData>
  <mergeCells count="14">
    <mergeCell ref="B1:D1"/>
    <mergeCell ref="B2:E2"/>
    <mergeCell ref="F5:J5"/>
    <mergeCell ref="F6:J6"/>
    <mergeCell ref="F7:J7"/>
    <mergeCell ref="F13:J13"/>
    <mergeCell ref="E19:F19"/>
    <mergeCell ref="E20:F20"/>
    <mergeCell ref="E23:F23"/>
    <mergeCell ref="F8:J8"/>
    <mergeCell ref="F9:J9"/>
    <mergeCell ref="F10:J10"/>
    <mergeCell ref="F11:J11"/>
    <mergeCell ref="F12:J12"/>
  </mergeCells>
  <phoneticPr fontId="63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C59"/>
  <sheetViews>
    <sheetView showGridLines="0" topLeftCell="A49" zoomScale="85" zoomScaleNormal="85" workbookViewId="0">
      <selection activeCell="K27" sqref="K27:R27"/>
    </sheetView>
  </sheetViews>
  <sheetFormatPr defaultColWidth="8.73046875" defaultRowHeight="14.25"/>
  <cols>
    <col min="1" max="1" width="4.73046875" customWidth="1"/>
    <col min="2" max="2" width="3" customWidth="1"/>
    <col min="3" max="3" width="49.86328125" customWidth="1"/>
    <col min="4" max="4" width="13" customWidth="1"/>
    <col min="5" max="7" width="12.86328125" customWidth="1"/>
    <col min="8" max="8" width="18" customWidth="1"/>
    <col min="9" max="9" width="19.86328125" customWidth="1"/>
    <col min="10" max="10" width="2" customWidth="1"/>
    <col min="11" max="11" width="13" customWidth="1"/>
    <col min="12" max="16" width="14.1328125" customWidth="1"/>
    <col min="17" max="17" width="2" customWidth="1"/>
    <col min="18" max="18" width="4" customWidth="1"/>
  </cols>
  <sheetData>
    <row r="1" spans="1:29" ht="25.5" customHeight="1">
      <c r="A1" s="21"/>
      <c r="B1" s="144" t="s">
        <v>340</v>
      </c>
      <c r="C1" s="144"/>
      <c r="D1" s="144"/>
      <c r="E1" s="144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29" ht="27.75" customHeight="1">
      <c r="A2" s="21"/>
      <c r="B2" s="146" t="s">
        <v>341</v>
      </c>
      <c r="C2" s="146"/>
      <c r="D2" s="146"/>
      <c r="E2" s="146"/>
      <c r="F2" s="146"/>
      <c r="G2" s="146"/>
      <c r="H2" s="146"/>
      <c r="I2" s="146"/>
      <c r="J2" s="146"/>
      <c r="K2" s="21"/>
      <c r="L2" s="21"/>
      <c r="M2" s="21"/>
      <c r="N2" s="21"/>
      <c r="O2" s="21"/>
      <c r="P2" s="21"/>
      <c r="Q2" s="21"/>
      <c r="R2" s="21"/>
    </row>
    <row r="3" spans="1:29" ht="1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29" ht="16.5" customHeight="1">
      <c r="A4" s="21"/>
      <c r="B4" s="21"/>
      <c r="C4" s="31" t="s">
        <v>342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29" ht="16.5" customHeight="1">
      <c r="A5" s="21"/>
      <c r="B5" s="21"/>
      <c r="C5" s="21"/>
      <c r="D5" s="163" t="s">
        <v>25</v>
      </c>
      <c r="E5" s="163"/>
      <c r="F5" s="163"/>
      <c r="G5" s="163"/>
      <c r="H5" s="163"/>
      <c r="I5" s="163"/>
      <c r="J5" s="21"/>
      <c r="K5" s="163" t="s">
        <v>26</v>
      </c>
      <c r="L5" s="163"/>
      <c r="M5" s="163"/>
      <c r="N5" s="163"/>
      <c r="O5" s="163"/>
      <c r="P5" s="163"/>
      <c r="Q5" s="21"/>
      <c r="R5" s="21"/>
    </row>
    <row r="6" spans="1:29" ht="16.5" customHeight="1">
      <c r="A6" s="21"/>
      <c r="B6" s="21"/>
      <c r="C6" s="22" t="s">
        <v>24</v>
      </c>
      <c r="D6" s="64" t="s">
        <v>242</v>
      </c>
      <c r="E6" s="64" t="s">
        <v>243</v>
      </c>
      <c r="F6" s="64" t="s">
        <v>244</v>
      </c>
      <c r="G6" s="64" t="s">
        <v>245</v>
      </c>
      <c r="H6" s="64" t="s">
        <v>246</v>
      </c>
      <c r="I6" s="64" t="s">
        <v>247</v>
      </c>
      <c r="J6" s="21"/>
      <c r="K6" s="64" t="s">
        <v>242</v>
      </c>
      <c r="L6" s="64" t="s">
        <v>243</v>
      </c>
      <c r="M6" s="64" t="s">
        <v>244</v>
      </c>
      <c r="N6" s="64" t="s">
        <v>245</v>
      </c>
      <c r="O6" s="64" t="s">
        <v>246</v>
      </c>
      <c r="P6" s="64" t="s">
        <v>247</v>
      </c>
      <c r="Q6" s="21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</row>
    <row r="7" spans="1:29" ht="32.25" customHeight="1">
      <c r="A7" s="21"/>
      <c r="B7" s="21"/>
      <c r="C7" s="79" t="s">
        <v>343</v>
      </c>
      <c r="D7" s="80">
        <f>'2-1_재무상태표'!D63</f>
        <v>0</v>
      </c>
      <c r="E7" s="80">
        <f>'2-1_재무상태표'!E63</f>
        <v>0</v>
      </c>
      <c r="F7" s="80">
        <f>'2-1_재무상태표'!F63</f>
        <v>0</v>
      </c>
      <c r="G7" s="80">
        <f>'2-1_재무상태표'!G63</f>
        <v>0</v>
      </c>
      <c r="H7" s="80">
        <f>'2-1_재무상태표'!H63</f>
        <v>0</v>
      </c>
      <c r="I7" s="80">
        <f>'2-1_재무상태표'!I63</f>
        <v>0</v>
      </c>
      <c r="J7" s="21"/>
      <c r="K7" s="80">
        <f>'2-1_재무상태표'!K63</f>
        <v>0</v>
      </c>
      <c r="L7" s="80">
        <f>'2-1_재무상태표'!L63</f>
        <v>0</v>
      </c>
      <c r="M7" s="80">
        <f>'2-1_재무상태표'!M63</f>
        <v>0</v>
      </c>
      <c r="N7" s="80">
        <f>'2-1_재무상태표'!N63</f>
        <v>0</v>
      </c>
      <c r="O7" s="80">
        <f>'2-1_재무상태표'!O63</f>
        <v>0</v>
      </c>
      <c r="P7" s="80">
        <f>'2-1_재무상태표'!P63</f>
        <v>0</v>
      </c>
      <c r="Q7" s="21"/>
      <c r="R7" s="157" t="s">
        <v>344</v>
      </c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</row>
    <row r="8" spans="1:29" ht="16.5" customHeight="1">
      <c r="A8" s="21"/>
      <c r="B8" s="21"/>
      <c r="C8" s="79" t="s">
        <v>345</v>
      </c>
      <c r="D8" s="80">
        <f>'2-1_재무상태표'!D62</f>
        <v>0</v>
      </c>
      <c r="E8" s="80">
        <f>'2-1_재무상태표'!E62</f>
        <v>0</v>
      </c>
      <c r="F8" s="80">
        <f>'2-1_재무상태표'!F62</f>
        <v>0</v>
      </c>
      <c r="G8" s="80">
        <f>'2-1_재무상태표'!G62</f>
        <v>0</v>
      </c>
      <c r="H8" s="80">
        <f>'2-1_재무상태표'!H62</f>
        <v>0</v>
      </c>
      <c r="I8" s="80">
        <f>'2-1_재무상태표'!I62</f>
        <v>0</v>
      </c>
      <c r="J8" s="21"/>
      <c r="K8" s="80">
        <f>'2-1_재무상태표'!K62</f>
        <v>0</v>
      </c>
      <c r="L8" s="80">
        <f>'2-1_재무상태표'!L62</f>
        <v>0</v>
      </c>
      <c r="M8" s="80">
        <f>'2-1_재무상태표'!M62</f>
        <v>0</v>
      </c>
      <c r="N8" s="80">
        <f>'2-1_재무상태표'!N62</f>
        <v>0</v>
      </c>
      <c r="O8" s="80">
        <f>'2-1_재무상태표'!O62</f>
        <v>0</v>
      </c>
      <c r="P8" s="80">
        <f>'2-1_재무상태표'!P62</f>
        <v>0</v>
      </c>
      <c r="Q8" s="21"/>
      <c r="R8" s="81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</row>
    <row r="9" spans="1:29" ht="29.25" customHeight="1">
      <c r="A9" s="21"/>
      <c r="B9" s="21"/>
      <c r="C9" s="83" t="s">
        <v>346</v>
      </c>
      <c r="D9" s="84">
        <f t="shared" ref="D9:I9" si="0">D7-D8</f>
        <v>0</v>
      </c>
      <c r="E9" s="84">
        <f t="shared" si="0"/>
        <v>0</v>
      </c>
      <c r="F9" s="84">
        <f t="shared" si="0"/>
        <v>0</v>
      </c>
      <c r="G9" s="84">
        <f t="shared" si="0"/>
        <v>0</v>
      </c>
      <c r="H9" s="84">
        <f t="shared" si="0"/>
        <v>0</v>
      </c>
      <c r="I9" s="84">
        <f t="shared" si="0"/>
        <v>0</v>
      </c>
      <c r="J9" s="21"/>
      <c r="K9" s="84">
        <f t="shared" ref="K9:P9" si="1">K7-K8</f>
        <v>0</v>
      </c>
      <c r="L9" s="84">
        <f t="shared" si="1"/>
        <v>0</v>
      </c>
      <c r="M9" s="84">
        <f t="shared" si="1"/>
        <v>0</v>
      </c>
      <c r="N9" s="84">
        <f t="shared" si="1"/>
        <v>0</v>
      </c>
      <c r="O9" s="84">
        <f t="shared" si="1"/>
        <v>0</v>
      </c>
      <c r="P9" s="84">
        <f t="shared" si="1"/>
        <v>0</v>
      </c>
      <c r="Q9" s="21"/>
      <c r="R9" s="81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</row>
    <row r="10" spans="1:29" ht="27.75" customHeight="1">
      <c r="A10" s="21"/>
      <c r="B10" s="21"/>
      <c r="C10" s="79" t="s">
        <v>347</v>
      </c>
      <c r="D10" s="85"/>
      <c r="E10" s="85"/>
      <c r="F10" s="85"/>
      <c r="G10" s="85"/>
      <c r="H10" s="85"/>
      <c r="I10" s="85"/>
      <c r="J10" s="21"/>
      <c r="K10" s="85"/>
      <c r="L10" s="85"/>
      <c r="M10" s="85"/>
      <c r="N10" s="85"/>
      <c r="O10" s="85"/>
      <c r="P10" s="85"/>
      <c r="Q10" s="21"/>
      <c r="R10" s="157" t="s">
        <v>348</v>
      </c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</row>
    <row r="11" spans="1:29" ht="16.5" customHeight="1">
      <c r="A11" s="21"/>
      <c r="B11" s="21"/>
      <c r="C11" s="79" t="s">
        <v>349</v>
      </c>
      <c r="D11" s="85"/>
      <c r="E11" s="85"/>
      <c r="F11" s="85"/>
      <c r="G11" s="85"/>
      <c r="H11" s="85"/>
      <c r="I11" s="85"/>
      <c r="J11" s="21"/>
      <c r="K11" s="85"/>
      <c r="L11" s="85"/>
      <c r="M11" s="85"/>
      <c r="N11" s="85"/>
      <c r="O11" s="85"/>
      <c r="P11" s="85"/>
      <c r="Q11" s="21"/>
      <c r="R11" s="81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</row>
    <row r="12" spans="1:29" ht="16.5" customHeight="1">
      <c r="A12" s="21"/>
      <c r="B12" s="21"/>
      <c r="C12" s="79" t="s">
        <v>350</v>
      </c>
      <c r="D12" s="86" t="str">
        <f t="shared" ref="D12:I12" si="2">IF(D10="","",D10-D11)</f>
        <v/>
      </c>
      <c r="E12" s="86" t="str">
        <f t="shared" si="2"/>
        <v/>
      </c>
      <c r="F12" s="86" t="str">
        <f t="shared" si="2"/>
        <v/>
      </c>
      <c r="G12" s="86" t="str">
        <f t="shared" si="2"/>
        <v/>
      </c>
      <c r="H12" s="86" t="str">
        <f t="shared" si="2"/>
        <v/>
      </c>
      <c r="I12" s="86" t="str">
        <f t="shared" si="2"/>
        <v/>
      </c>
      <c r="J12" s="21"/>
      <c r="K12" s="86" t="str">
        <f t="shared" ref="K12:P12" si="3">IF(K10="","",K10-K11)</f>
        <v/>
      </c>
      <c r="L12" s="86" t="str">
        <f t="shared" si="3"/>
        <v/>
      </c>
      <c r="M12" s="86" t="str">
        <f t="shared" si="3"/>
        <v/>
      </c>
      <c r="N12" s="86" t="str">
        <f t="shared" si="3"/>
        <v/>
      </c>
      <c r="O12" s="86" t="str">
        <f t="shared" si="3"/>
        <v/>
      </c>
      <c r="P12" s="86" t="str">
        <f t="shared" si="3"/>
        <v/>
      </c>
      <c r="Q12" s="21"/>
      <c r="R12" s="81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</row>
    <row r="13" spans="1:29" ht="34.5" customHeight="1">
      <c r="A13" s="21"/>
      <c r="B13" s="21"/>
      <c r="C13" s="87" t="s">
        <v>351</v>
      </c>
      <c r="D13" s="85"/>
      <c r="E13" s="85"/>
      <c r="F13" s="85"/>
      <c r="G13" s="85"/>
      <c r="H13" s="85"/>
      <c r="I13" s="85"/>
      <c r="J13" s="21"/>
      <c r="K13" s="85"/>
      <c r="L13" s="85"/>
      <c r="M13" s="85"/>
      <c r="N13" s="85"/>
      <c r="O13" s="85"/>
      <c r="P13" s="85"/>
      <c r="Q13" s="21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</row>
    <row r="14" spans="1:29" ht="45.75" customHeight="1">
      <c r="A14" s="21"/>
      <c r="B14" s="21"/>
      <c r="C14" s="88" t="s">
        <v>352</v>
      </c>
      <c r="D14" s="80" t="str">
        <f>IF(OR(D12="",D13=""),"",D13*D12/1000)</f>
        <v/>
      </c>
      <c r="E14" s="80" t="str">
        <f t="shared" ref="E14:I14" si="4">IF(OR(E12="",E13=""),"",E13*E12/1000)</f>
        <v/>
      </c>
      <c r="F14" s="80" t="str">
        <f t="shared" si="4"/>
        <v/>
      </c>
      <c r="G14" s="80" t="str">
        <f t="shared" si="4"/>
        <v/>
      </c>
      <c r="H14" s="80" t="str">
        <f t="shared" si="4"/>
        <v/>
      </c>
      <c r="I14" s="80" t="str">
        <f t="shared" si="4"/>
        <v/>
      </c>
      <c r="J14" s="21"/>
      <c r="K14" s="80" t="str">
        <f t="shared" ref="K14:P14" si="5">IF(OR(K12="",K13=""),"",K13*K12/1000)</f>
        <v/>
      </c>
      <c r="L14" s="80" t="str">
        <f t="shared" si="5"/>
        <v/>
      </c>
      <c r="M14" s="80" t="str">
        <f t="shared" si="5"/>
        <v/>
      </c>
      <c r="N14" s="80" t="str">
        <f t="shared" si="5"/>
        <v/>
      </c>
      <c r="O14" s="80" t="str">
        <f t="shared" si="5"/>
        <v/>
      </c>
      <c r="P14" s="80" t="str">
        <f t="shared" si="5"/>
        <v/>
      </c>
      <c r="Q14" s="21"/>
      <c r="R14" s="157" t="s">
        <v>353</v>
      </c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</row>
    <row r="15" spans="1:29" ht="53.25" customHeight="1">
      <c r="A15" s="21"/>
      <c r="B15" s="21"/>
      <c r="C15" s="88" t="s">
        <v>354</v>
      </c>
      <c r="D15" s="86" t="str">
        <f t="shared" ref="D15:I15" si="6">IF(OR(D12="",D12=0,D9=0),"",D9*1000/D12)</f>
        <v/>
      </c>
      <c r="E15" s="86" t="str">
        <f t="shared" si="6"/>
        <v/>
      </c>
      <c r="F15" s="86" t="str">
        <f t="shared" si="6"/>
        <v/>
      </c>
      <c r="G15" s="86" t="str">
        <f t="shared" si="6"/>
        <v/>
      </c>
      <c r="H15" s="86" t="str">
        <f t="shared" si="6"/>
        <v/>
      </c>
      <c r="I15" s="86" t="str">
        <f t="shared" si="6"/>
        <v/>
      </c>
      <c r="J15" s="21"/>
      <c r="K15" s="86" t="str">
        <f t="shared" ref="K15:P15" si="7">IF(OR(K12="",K12=0,K9=0),"",K9*1000/K12)</f>
        <v/>
      </c>
      <c r="L15" s="86" t="str">
        <f t="shared" si="7"/>
        <v/>
      </c>
      <c r="M15" s="86" t="str">
        <f t="shared" si="7"/>
        <v/>
      </c>
      <c r="N15" s="86" t="str">
        <f t="shared" si="7"/>
        <v/>
      </c>
      <c r="O15" s="86" t="str">
        <f t="shared" si="7"/>
        <v/>
      </c>
      <c r="P15" s="86" t="str">
        <f t="shared" si="7"/>
        <v/>
      </c>
      <c r="Q15" s="21"/>
      <c r="R15" s="157" t="s">
        <v>355</v>
      </c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82"/>
    </row>
    <row r="16" spans="1:29" ht="16.5" customHeight="1">
      <c r="A16" s="21"/>
      <c r="B16" s="21"/>
      <c r="C16" s="89" t="s">
        <v>356</v>
      </c>
      <c r="D16" s="90" t="str">
        <f>IF(OR(D15="",D13=""),"",D13/D15)</f>
        <v/>
      </c>
      <c r="E16" s="90" t="str">
        <f>IF(OR(E15="",E13=""),"",E13/E15)</f>
        <v/>
      </c>
      <c r="F16" s="90" t="str">
        <f t="shared" ref="F16:I16" si="8">IF(OR(F15="",F13=""),"",F13/F15)</f>
        <v/>
      </c>
      <c r="G16" s="90" t="str">
        <f t="shared" si="8"/>
        <v/>
      </c>
      <c r="H16" s="90" t="str">
        <f t="shared" si="8"/>
        <v/>
      </c>
      <c r="I16" s="90" t="str">
        <f t="shared" si="8"/>
        <v/>
      </c>
      <c r="J16" s="21"/>
      <c r="K16" s="90" t="str">
        <f t="shared" ref="K16:P16" si="9">IF(OR(K15="",K13=""),"",K13/K15)</f>
        <v/>
      </c>
      <c r="L16" s="90" t="str">
        <f t="shared" si="9"/>
        <v/>
      </c>
      <c r="M16" s="90" t="str">
        <f t="shared" si="9"/>
        <v/>
      </c>
      <c r="N16" s="90" t="str">
        <f t="shared" si="9"/>
        <v/>
      </c>
      <c r="O16" s="90" t="str">
        <f t="shared" si="9"/>
        <v/>
      </c>
      <c r="P16" s="90" t="str">
        <f t="shared" si="9"/>
        <v/>
      </c>
      <c r="Q16" s="21"/>
      <c r="R16" s="81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</row>
    <row r="17" spans="1:29" ht="47.25" customHeight="1">
      <c r="A17" s="21"/>
      <c r="B17" s="21"/>
      <c r="C17" s="125" t="s">
        <v>449</v>
      </c>
      <c r="D17" s="91"/>
      <c r="E17" s="92" t="str">
        <f>IF(OR('3-1_손익계산서'!E21="",E9=0,D9=0),"",'3-1_손익계산서'!E21/((E9+D9)/2))</f>
        <v/>
      </c>
      <c r="F17" s="92" t="str">
        <f>IF(OR('3-1_손익계산서'!F21="",F9=0,E9=0),"",'3-1_손익계산서'!F21/((F9+E9)/2))</f>
        <v/>
      </c>
      <c r="G17" s="92" t="str">
        <f>IF(OR('3-1_손익계산서'!G21="",G9=0,F9=0),"",'3-1_손익계산서'!G21/((G9+F9)/2))</f>
        <v/>
      </c>
      <c r="H17" s="92" t="str">
        <f>IF(OR('3-1_손익계산서'!H21="",H9=0,G9=0),"",'3-1_손익계산서'!H21/((H9+G9)/2))</f>
        <v/>
      </c>
      <c r="I17" s="92" t="str">
        <f>IF(OR('3-1_손익계산서'!I21="",I9=0,H9=0),"",'3-1_손익계산서'!I21/((I9+H9)/2))</f>
        <v/>
      </c>
      <c r="J17" s="21"/>
      <c r="K17" s="91"/>
      <c r="L17" s="92" t="str">
        <f>IF(OR('3-1_손익계산서'!L21="",L9=0,K9=0),"",'3-1_손익계산서'!L21/((L9+K9)/2))</f>
        <v/>
      </c>
      <c r="M17" s="92" t="str">
        <f>IF(OR('3-1_손익계산서'!M21="",M9=0,L9=0),"",'3-1_손익계산서'!M21/((M9+L9)/2))</f>
        <v/>
      </c>
      <c r="N17" s="92" t="str">
        <f>IF(OR('3-1_손익계산서'!N21="",N9=0,M9=0),"",'3-1_손익계산서'!N21/((N9+M9)/2))</f>
        <v/>
      </c>
      <c r="O17" s="92" t="str">
        <f>IF(OR('3-1_손익계산서'!O21="",O9=0,N9=0),"",'3-1_손익계산서'!O21/((O9+N9)/2))</f>
        <v/>
      </c>
      <c r="P17" s="92" t="str">
        <f>IF(OR('3-1_손익계산서'!P21="",P9=0,O9=0),"",'3-1_손익계산서'!P21/((P9+O9)/2))</f>
        <v/>
      </c>
      <c r="Q17" s="21"/>
      <c r="R17" s="179" t="s">
        <v>357</v>
      </c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82"/>
    </row>
    <row r="18" spans="1:29" ht="16.5" customHeight="1">
      <c r="A18" s="21"/>
      <c r="B18" s="21"/>
      <c r="C18" s="93" t="s">
        <v>358</v>
      </c>
      <c r="D18" s="94" t="str">
        <f t="shared" ref="D18:I18" si="10">IF(D7=0,"01시트 미입력","OK")</f>
        <v>01시트 미입력</v>
      </c>
      <c r="E18" s="94" t="str">
        <f t="shared" si="10"/>
        <v>01시트 미입력</v>
      </c>
      <c r="F18" s="94" t="str">
        <f t="shared" si="10"/>
        <v>01시트 미입력</v>
      </c>
      <c r="G18" s="94" t="str">
        <f t="shared" si="10"/>
        <v>01시트 미입력</v>
      </c>
      <c r="H18" s="94" t="str">
        <f t="shared" si="10"/>
        <v>01시트 미입력</v>
      </c>
      <c r="I18" s="94" t="str">
        <f t="shared" si="10"/>
        <v>01시트 미입력</v>
      </c>
      <c r="J18" s="21"/>
      <c r="K18" s="94" t="str">
        <f t="shared" ref="K18:P18" si="11">IF(K7=0,"01시트 미입력","OK")</f>
        <v>01시트 미입력</v>
      </c>
      <c r="L18" s="94" t="str">
        <f t="shared" si="11"/>
        <v>01시트 미입력</v>
      </c>
      <c r="M18" s="94" t="str">
        <f t="shared" si="11"/>
        <v>01시트 미입력</v>
      </c>
      <c r="N18" s="94" t="str">
        <f t="shared" si="11"/>
        <v>01시트 미입력</v>
      </c>
      <c r="O18" s="94" t="str">
        <f t="shared" si="11"/>
        <v>01시트 미입력</v>
      </c>
      <c r="P18" s="94" t="str">
        <f t="shared" si="11"/>
        <v>01시트 미입력</v>
      </c>
      <c r="Q18" s="21"/>
      <c r="R18" s="81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</row>
    <row r="19" spans="1:29" ht="16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</row>
    <row r="20" spans="1:29" ht="16.5" customHeight="1">
      <c r="A20" s="21"/>
      <c r="B20" s="21"/>
      <c r="C20" s="21"/>
      <c r="D20" s="21" t="s">
        <v>450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</row>
    <row r="21" spans="1:29" ht="16.5" customHeight="1">
      <c r="A21" s="21"/>
      <c r="B21" s="21"/>
      <c r="C21" s="95" t="s">
        <v>359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29" ht="55.5" customHeight="1">
      <c r="A22" s="21"/>
      <c r="B22" s="21"/>
      <c r="C22" s="22" t="s">
        <v>360</v>
      </c>
      <c r="D22" s="22" t="s">
        <v>361</v>
      </c>
      <c r="E22" s="22" t="s">
        <v>362</v>
      </c>
      <c r="F22" s="22" t="s">
        <v>363</v>
      </c>
      <c r="G22" s="22" t="s">
        <v>364</v>
      </c>
      <c r="H22" s="22" t="s">
        <v>365</v>
      </c>
      <c r="I22" s="22" t="s">
        <v>366</v>
      </c>
      <c r="J22" s="21"/>
      <c r="K22" s="21"/>
      <c r="L22" s="21"/>
      <c r="M22" s="21"/>
      <c r="N22" s="21"/>
      <c r="O22" s="21"/>
      <c r="P22" s="21"/>
      <c r="Q22" s="21"/>
      <c r="R22" s="21"/>
    </row>
    <row r="23" spans="1:29" ht="16.5" customHeight="1">
      <c r="A23" s="21"/>
      <c r="B23" s="21"/>
      <c r="C23" s="96" t="s">
        <v>242</v>
      </c>
      <c r="D23" s="97" t="str">
        <f>D16</f>
        <v/>
      </c>
      <c r="E23" s="97" t="str">
        <f>K16</f>
        <v/>
      </c>
      <c r="F23" s="97" t="str">
        <f t="shared" ref="F23:F28" si="12">IF(OR(D23="",E23=""),"",D23-E23)</f>
        <v/>
      </c>
      <c r="G23" s="97" t="str">
        <f t="shared" ref="G23:G28" si="13">IF(OR(D23="",E23="",E23=0),"",D23/E23)</f>
        <v/>
      </c>
      <c r="H23" s="80" t="str">
        <f>IF(D14="","",D14-D9)</f>
        <v/>
      </c>
      <c r="I23" s="80" t="str">
        <f>IF(K14="","",K14-K9)</f>
        <v/>
      </c>
      <c r="J23" s="21"/>
      <c r="K23" s="180" t="s">
        <v>367</v>
      </c>
      <c r="L23" s="180"/>
      <c r="M23" s="180"/>
      <c r="N23" s="180"/>
      <c r="O23" s="180"/>
      <c r="P23" s="180"/>
      <c r="Q23" s="180"/>
      <c r="R23" s="180"/>
      <c r="S23" s="180"/>
    </row>
    <row r="24" spans="1:29" ht="16.5" customHeight="1">
      <c r="A24" s="21"/>
      <c r="B24" s="21"/>
      <c r="C24" s="96" t="s">
        <v>243</v>
      </c>
      <c r="D24" s="97" t="str">
        <f>E16</f>
        <v/>
      </c>
      <c r="E24" s="97" t="str">
        <f>L16</f>
        <v/>
      </c>
      <c r="F24" s="97" t="str">
        <f t="shared" si="12"/>
        <v/>
      </c>
      <c r="G24" s="97" t="str">
        <f t="shared" si="13"/>
        <v/>
      </c>
      <c r="H24" s="80" t="str">
        <f>IF(E14="","",E14-E9)</f>
        <v/>
      </c>
      <c r="I24" s="80" t="str">
        <f>IF(L14="","",L14-L9)</f>
        <v/>
      </c>
      <c r="J24" s="21"/>
      <c r="K24" s="181" t="s">
        <v>368</v>
      </c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</row>
    <row r="25" spans="1:29" ht="16.5" customHeight="1">
      <c r="A25" s="21"/>
      <c r="B25" s="21"/>
      <c r="C25" s="96" t="s">
        <v>244</v>
      </c>
      <c r="D25" s="97" t="str">
        <f>F16</f>
        <v/>
      </c>
      <c r="E25" s="97" t="str">
        <f>M16</f>
        <v/>
      </c>
      <c r="F25" s="97" t="str">
        <f t="shared" si="12"/>
        <v/>
      </c>
      <c r="G25" s="97" t="str">
        <f t="shared" si="13"/>
        <v/>
      </c>
      <c r="H25" s="80" t="str">
        <f>IF(F14="","",F14-F9)</f>
        <v/>
      </c>
      <c r="I25" s="80" t="str">
        <f>IF(M14="","",M14-M9)</f>
        <v/>
      </c>
      <c r="J25" s="21"/>
      <c r="K25" s="180" t="s">
        <v>369</v>
      </c>
      <c r="L25" s="180"/>
      <c r="M25" s="180"/>
      <c r="N25" s="180"/>
      <c r="O25" s="180"/>
      <c r="P25" s="180"/>
      <c r="Q25" s="180"/>
      <c r="R25" s="180"/>
      <c r="S25" s="180"/>
      <c r="T25" s="180"/>
      <c r="U25" s="180"/>
    </row>
    <row r="26" spans="1:29" ht="16.5" customHeight="1">
      <c r="A26" s="21"/>
      <c r="B26" s="21"/>
      <c r="C26" s="96" t="s">
        <v>245</v>
      </c>
      <c r="D26" s="97" t="str">
        <f>G16</f>
        <v/>
      </c>
      <c r="E26" s="97" t="str">
        <f>N16</f>
        <v/>
      </c>
      <c r="F26" s="97" t="str">
        <f t="shared" si="12"/>
        <v/>
      </c>
      <c r="G26" s="97" t="str">
        <f t="shared" si="13"/>
        <v/>
      </c>
      <c r="H26" s="80" t="str">
        <f>IF(G14="","",G14-G9)</f>
        <v/>
      </c>
      <c r="I26" s="80" t="str">
        <f>IF(N14="","",N14-N9)</f>
        <v/>
      </c>
      <c r="J26" s="21"/>
      <c r="K26" s="21"/>
      <c r="L26" s="21"/>
      <c r="M26" s="21"/>
      <c r="N26" s="21"/>
      <c r="O26" s="21"/>
      <c r="P26" s="21"/>
      <c r="Q26" s="21"/>
      <c r="R26" s="21"/>
    </row>
    <row r="27" spans="1:29" ht="16.5" customHeight="1">
      <c r="A27" s="21"/>
      <c r="B27" s="21"/>
      <c r="C27" s="96" t="s">
        <v>246</v>
      </c>
      <c r="D27" s="97" t="str">
        <f>H16</f>
        <v/>
      </c>
      <c r="E27" s="97" t="str">
        <f>O16</f>
        <v/>
      </c>
      <c r="F27" s="97" t="str">
        <f t="shared" si="12"/>
        <v/>
      </c>
      <c r="G27" s="97" t="str">
        <f t="shared" si="13"/>
        <v/>
      </c>
      <c r="H27" s="80" t="str">
        <f>IF(H14="","",H14-H9)</f>
        <v/>
      </c>
      <c r="I27" s="80" t="str">
        <f>IF(O14="","",O14-O9)</f>
        <v/>
      </c>
      <c r="J27" s="21"/>
      <c r="K27" s="181" t="s">
        <v>370</v>
      </c>
      <c r="L27" s="181"/>
      <c r="M27" s="181"/>
      <c r="N27" s="181"/>
      <c r="O27" s="181"/>
      <c r="P27" s="181"/>
      <c r="Q27" s="181"/>
      <c r="R27" s="181"/>
    </row>
    <row r="28" spans="1:29" ht="16.5" customHeight="1">
      <c r="A28" s="21"/>
      <c r="B28" s="21"/>
      <c r="C28" s="96" t="s">
        <v>247</v>
      </c>
      <c r="D28" s="97" t="str">
        <f>I16</f>
        <v/>
      </c>
      <c r="E28" s="97" t="str">
        <f>P16</f>
        <v/>
      </c>
      <c r="F28" s="97" t="str">
        <f t="shared" si="12"/>
        <v/>
      </c>
      <c r="G28" s="97" t="str">
        <f t="shared" si="13"/>
        <v/>
      </c>
      <c r="H28" s="80" t="str">
        <f>IF(I14="","",I14-I9)</f>
        <v/>
      </c>
      <c r="I28" s="80" t="str">
        <f>IF(P14="","",P14-P9)</f>
        <v/>
      </c>
      <c r="J28" s="21"/>
      <c r="K28" s="21"/>
      <c r="L28" s="21"/>
      <c r="M28" s="21"/>
      <c r="N28" s="21"/>
      <c r="O28" s="21"/>
      <c r="P28" s="21"/>
      <c r="Q28" s="21"/>
      <c r="R28" s="21"/>
    </row>
    <row r="29" spans="1:29" ht="16.5" customHeight="1">
      <c r="A29" s="21"/>
      <c r="B29" s="21"/>
      <c r="C29" s="89" t="s">
        <v>371</v>
      </c>
      <c r="D29" s="90" t="str">
        <f>IFERROR(AVERAGE(D23:D28),"")</f>
        <v/>
      </c>
      <c r="E29" s="90" t="str">
        <f>IFERROR(AVERAGE(E23:E28),"")</f>
        <v/>
      </c>
      <c r="F29" s="90" t="str">
        <f t="shared" ref="F29:I29" si="14">IFERROR(AVERAGE(F23:F28),"")</f>
        <v/>
      </c>
      <c r="G29" s="90" t="str">
        <f t="shared" si="14"/>
        <v/>
      </c>
      <c r="H29" s="84" t="str">
        <f t="shared" si="14"/>
        <v/>
      </c>
      <c r="I29" s="84" t="str">
        <f t="shared" si="14"/>
        <v/>
      </c>
      <c r="J29" s="21"/>
      <c r="K29" s="21"/>
      <c r="L29" s="21"/>
      <c r="M29" s="21"/>
      <c r="N29" s="21"/>
      <c r="O29" s="21"/>
      <c r="P29" s="21"/>
      <c r="Q29" s="21"/>
      <c r="R29" s="21"/>
    </row>
    <row r="30" spans="1:29" ht="16.5" customHeight="1">
      <c r="A30" s="21"/>
      <c r="B30" s="21"/>
      <c r="C30" s="98" t="s">
        <v>372</v>
      </c>
      <c r="D30" s="90">
        <f t="shared" ref="D30:I30" si="15">IFERROR(MAX(D23:D28),"")</f>
        <v>0</v>
      </c>
      <c r="E30" s="90">
        <f t="shared" si="15"/>
        <v>0</v>
      </c>
      <c r="F30" s="90">
        <f t="shared" si="15"/>
        <v>0</v>
      </c>
      <c r="G30" s="90">
        <f t="shared" si="15"/>
        <v>0</v>
      </c>
      <c r="H30" s="84">
        <f t="shared" si="15"/>
        <v>0</v>
      </c>
      <c r="I30" s="84">
        <f t="shared" si="15"/>
        <v>0</v>
      </c>
      <c r="J30" s="21"/>
      <c r="K30" s="21"/>
      <c r="L30" s="21"/>
      <c r="M30" s="21"/>
      <c r="N30" s="21"/>
      <c r="O30" s="21"/>
      <c r="P30" s="21"/>
      <c r="Q30" s="21"/>
      <c r="R30" s="21"/>
    </row>
    <row r="31" spans="1:29" ht="16.5" customHeight="1">
      <c r="A31" s="21"/>
      <c r="B31" s="21"/>
      <c r="C31" s="98" t="s">
        <v>373</v>
      </c>
      <c r="D31" s="90">
        <f t="shared" ref="D31:I31" si="16">IFERROR(MIN(D23:D28),"")</f>
        <v>0</v>
      </c>
      <c r="E31" s="90">
        <f t="shared" si="16"/>
        <v>0</v>
      </c>
      <c r="F31" s="90">
        <f t="shared" si="16"/>
        <v>0</v>
      </c>
      <c r="G31" s="90">
        <f t="shared" si="16"/>
        <v>0</v>
      </c>
      <c r="H31" s="84">
        <f t="shared" si="16"/>
        <v>0</v>
      </c>
      <c r="I31" s="84">
        <f t="shared" si="16"/>
        <v>0</v>
      </c>
      <c r="J31" s="21"/>
      <c r="K31" s="21"/>
      <c r="L31" s="21"/>
      <c r="M31" s="21"/>
      <c r="N31" s="21"/>
      <c r="O31" s="21"/>
      <c r="P31" s="21"/>
      <c r="Q31" s="21"/>
      <c r="R31" s="21"/>
    </row>
    <row r="32" spans="1:29" ht="16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</row>
    <row r="33" spans="1:18" ht="16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</row>
    <row r="34" spans="1:18" ht="16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</row>
    <row r="35" spans="1:18" ht="16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</row>
    <row r="36" spans="1:18" ht="16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</row>
    <row r="37" spans="1:18" ht="16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</row>
    <row r="38" spans="1:18" ht="16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  <row r="39" spans="1:18" ht="16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</row>
    <row r="40" spans="1:18" ht="16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</row>
    <row r="41" spans="1:18" ht="16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</row>
    <row r="42" spans="1:18" ht="16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</row>
    <row r="43" spans="1:18" ht="16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</row>
    <row r="44" spans="1:18" ht="16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</row>
    <row r="45" spans="1:18" ht="16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</row>
    <row r="46" spans="1:18" ht="16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</row>
    <row r="47" spans="1:18" ht="16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</row>
    <row r="48" spans="1:18" ht="16.5" customHeight="1">
      <c r="A48" s="21"/>
      <c r="B48" s="21"/>
      <c r="C48" s="147" t="s">
        <v>374</v>
      </c>
      <c r="D48" s="147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</row>
    <row r="49" spans="1:18" ht="16.5" customHeight="1">
      <c r="A49" s="21"/>
      <c r="B49" s="99"/>
      <c r="C49" s="177" t="s">
        <v>375</v>
      </c>
      <c r="D49" s="178"/>
      <c r="E49" s="171"/>
      <c r="F49" s="171"/>
      <c r="G49" s="171"/>
      <c r="H49" s="171"/>
      <c r="I49" s="171"/>
      <c r="J49" s="21"/>
      <c r="K49" s="21"/>
      <c r="L49" s="21"/>
      <c r="M49" s="21"/>
      <c r="N49" s="21"/>
      <c r="O49" s="21"/>
      <c r="P49" s="21"/>
      <c r="Q49" s="21"/>
      <c r="R49" s="21"/>
    </row>
    <row r="50" spans="1:18" ht="16.5" customHeight="1">
      <c r="A50" s="21"/>
      <c r="B50" s="99"/>
      <c r="C50" s="177"/>
      <c r="D50" s="171"/>
      <c r="E50" s="171"/>
      <c r="F50" s="171"/>
      <c r="G50" s="171"/>
      <c r="H50" s="171"/>
      <c r="I50" s="171"/>
      <c r="J50" s="21"/>
      <c r="K50" s="21"/>
      <c r="L50" s="21"/>
      <c r="M50" s="21"/>
      <c r="N50" s="21"/>
      <c r="O50" s="21"/>
      <c r="P50" s="21"/>
      <c r="Q50" s="21"/>
      <c r="R50" s="21"/>
    </row>
    <row r="51" spans="1:18" ht="177.75" customHeight="1">
      <c r="A51" s="21"/>
      <c r="B51" s="99"/>
      <c r="C51" s="177"/>
      <c r="D51" s="171"/>
      <c r="E51" s="171"/>
      <c r="F51" s="171"/>
      <c r="G51" s="171"/>
      <c r="H51" s="171"/>
      <c r="I51" s="171"/>
      <c r="J51" s="21"/>
      <c r="K51" s="21"/>
      <c r="L51" s="21"/>
      <c r="M51" s="21"/>
      <c r="N51" s="21"/>
      <c r="O51" s="21"/>
      <c r="P51" s="21"/>
      <c r="Q51" s="21"/>
      <c r="R51" s="21"/>
    </row>
    <row r="52" spans="1:18" ht="16.5" customHeight="1">
      <c r="A52" s="21"/>
      <c r="B52" s="99"/>
      <c r="C52" s="177" t="s">
        <v>376</v>
      </c>
      <c r="D52" s="178"/>
      <c r="E52" s="171"/>
      <c r="F52" s="171"/>
      <c r="G52" s="171"/>
      <c r="H52" s="171"/>
      <c r="I52" s="171"/>
      <c r="J52" s="21"/>
      <c r="K52" s="21"/>
      <c r="L52" s="21"/>
      <c r="M52" s="21"/>
      <c r="N52" s="21"/>
      <c r="O52" s="21"/>
      <c r="P52" s="21"/>
      <c r="Q52" s="21"/>
      <c r="R52" s="21"/>
    </row>
    <row r="53" spans="1:18" ht="16.5" customHeight="1">
      <c r="A53" s="21"/>
      <c r="B53" s="99"/>
      <c r="C53" s="177"/>
      <c r="D53" s="171"/>
      <c r="E53" s="171"/>
      <c r="F53" s="171"/>
      <c r="G53" s="171"/>
      <c r="H53" s="171"/>
      <c r="I53" s="171"/>
      <c r="J53" s="21"/>
      <c r="K53" s="21"/>
      <c r="L53" s="21"/>
      <c r="M53" s="21"/>
      <c r="N53" s="21"/>
      <c r="O53" s="21"/>
      <c r="P53" s="21"/>
      <c r="Q53" s="21"/>
      <c r="R53" s="21"/>
    </row>
    <row r="54" spans="1:18" ht="137.25" customHeight="1">
      <c r="A54" s="21"/>
      <c r="B54" s="99"/>
      <c r="C54" s="177"/>
      <c r="D54" s="171"/>
      <c r="E54" s="171"/>
      <c r="F54" s="171"/>
      <c r="G54" s="171"/>
      <c r="H54" s="171"/>
      <c r="I54" s="171"/>
      <c r="J54" s="21"/>
      <c r="K54" s="21"/>
      <c r="L54" s="21"/>
      <c r="M54" s="21"/>
      <c r="N54" s="21"/>
      <c r="O54" s="21"/>
      <c r="P54" s="21"/>
      <c r="Q54" s="21"/>
      <c r="R54" s="21"/>
    </row>
    <row r="55" spans="1:18" ht="16.5" customHeight="1">
      <c r="A55" s="21"/>
      <c r="B55" s="99"/>
      <c r="C55" s="167" t="s">
        <v>377</v>
      </c>
      <c r="D55" s="168"/>
      <c r="E55" s="169"/>
      <c r="F55" s="169"/>
      <c r="G55" s="169"/>
      <c r="H55" s="169"/>
      <c r="I55" s="169"/>
      <c r="J55" s="21"/>
      <c r="K55" s="21"/>
      <c r="L55" s="21"/>
      <c r="M55" s="21"/>
      <c r="N55" s="21"/>
      <c r="O55" s="21"/>
      <c r="P55" s="21"/>
      <c r="Q55" s="21"/>
      <c r="R55" s="21"/>
    </row>
    <row r="56" spans="1:18" ht="16.899999999999999">
      <c r="A56" s="21"/>
      <c r="B56" s="99"/>
      <c r="C56" s="167"/>
      <c r="D56" s="170"/>
      <c r="E56" s="171"/>
      <c r="F56" s="171"/>
      <c r="G56" s="171"/>
      <c r="H56" s="171"/>
      <c r="I56" s="171"/>
      <c r="J56" s="21"/>
      <c r="K56" s="21"/>
      <c r="L56" s="21"/>
      <c r="M56" s="21"/>
      <c r="N56" s="21"/>
      <c r="O56" s="21"/>
      <c r="P56" s="21"/>
      <c r="Q56" s="21"/>
      <c r="R56" s="21"/>
    </row>
    <row r="57" spans="1:18" ht="98.25" customHeight="1">
      <c r="A57" s="21"/>
      <c r="B57" s="99"/>
      <c r="C57" s="167"/>
      <c r="D57" s="172"/>
      <c r="E57" s="173"/>
      <c r="F57" s="173"/>
      <c r="G57" s="173"/>
      <c r="H57" s="173"/>
      <c r="I57" s="173"/>
      <c r="J57" s="21"/>
      <c r="K57" s="21"/>
      <c r="L57" s="21"/>
      <c r="M57" s="21"/>
      <c r="N57" s="21"/>
      <c r="O57" s="21"/>
      <c r="P57" s="21"/>
      <c r="Q57" s="21"/>
      <c r="R57" s="21"/>
    </row>
    <row r="58" spans="1:18" ht="16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</row>
    <row r="59" spans="1:18" ht="36.75" customHeight="1">
      <c r="A59" s="21"/>
      <c r="B59" s="21"/>
      <c r="C59" s="55" t="s">
        <v>378</v>
      </c>
      <c r="D59" s="174"/>
      <c r="E59" s="175"/>
      <c r="F59" s="175"/>
      <c r="G59" s="175"/>
      <c r="H59" s="175"/>
      <c r="I59" s="175"/>
      <c r="J59" s="21"/>
      <c r="K59" s="176"/>
      <c r="L59" s="176"/>
      <c r="M59" s="176"/>
      <c r="N59" s="176"/>
      <c r="O59" s="176"/>
      <c r="P59" s="176"/>
      <c r="Q59" s="21"/>
      <c r="R59" s="21"/>
    </row>
  </sheetData>
  <mergeCells count="24">
    <mergeCell ref="B1:E1"/>
    <mergeCell ref="B2:J2"/>
    <mergeCell ref="D5:I5"/>
    <mergeCell ref="K5:P5"/>
    <mergeCell ref="R6:AC6"/>
    <mergeCell ref="R7:AC7"/>
    <mergeCell ref="R10:AC10"/>
    <mergeCell ref="R13:AC13"/>
    <mergeCell ref="R14:AC14"/>
    <mergeCell ref="R15:AB15"/>
    <mergeCell ref="R17:AB17"/>
    <mergeCell ref="K23:S23"/>
    <mergeCell ref="K24:W24"/>
    <mergeCell ref="K25:U25"/>
    <mergeCell ref="K27:R27"/>
    <mergeCell ref="C55:C57"/>
    <mergeCell ref="D55:I57"/>
    <mergeCell ref="D59:I59"/>
    <mergeCell ref="K59:P59"/>
    <mergeCell ref="C48:D48"/>
    <mergeCell ref="C49:C51"/>
    <mergeCell ref="D49:I51"/>
    <mergeCell ref="C52:C54"/>
    <mergeCell ref="D52:I54"/>
  </mergeCells>
  <phoneticPr fontId="63" type="noConversion"/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B1:AF90"/>
  <sheetViews>
    <sheetView showGridLines="0" zoomScale="115" zoomScaleNormal="115" workbookViewId="0">
      <selection activeCell="C30" sqref="C30"/>
    </sheetView>
  </sheetViews>
  <sheetFormatPr defaultColWidth="8.73046875" defaultRowHeight="14.25"/>
  <cols>
    <col min="1" max="1" width="5.59765625" customWidth="1"/>
    <col min="2" max="2" width="8" customWidth="1"/>
    <col min="3" max="3" width="44.53125" customWidth="1"/>
    <col min="4" max="9" width="12" customWidth="1"/>
    <col min="10" max="10" width="2" customWidth="1"/>
    <col min="11" max="16" width="12" customWidth="1"/>
    <col min="17" max="17" width="2" customWidth="1"/>
    <col min="18" max="18" width="4" customWidth="1"/>
    <col min="19" max="19" width="30" customWidth="1"/>
    <col min="20" max="25" width="9" customWidth="1"/>
    <col min="26" max="26" width="2" customWidth="1"/>
    <col min="27" max="32" width="9" customWidth="1"/>
  </cols>
  <sheetData>
    <row r="1" spans="2:32" ht="25.5" customHeight="1">
      <c r="B1" s="141" t="s">
        <v>379</v>
      </c>
      <c r="C1" s="141"/>
      <c r="D1" s="141"/>
      <c r="E1" s="141"/>
      <c r="F1" s="141"/>
      <c r="G1" s="141"/>
    </row>
    <row r="2" spans="2:32" ht="27.75" customHeight="1">
      <c r="B2" s="142" t="s">
        <v>380</v>
      </c>
      <c r="C2" s="142"/>
      <c r="D2" s="142"/>
      <c r="E2" s="142"/>
      <c r="F2" s="142"/>
      <c r="G2" s="142"/>
      <c r="H2" s="142"/>
      <c r="I2" s="142"/>
    </row>
    <row r="4" spans="2:32" ht="17.25" customHeight="1">
      <c r="D4" s="138" t="s">
        <v>381</v>
      </c>
      <c r="E4" s="138"/>
      <c r="F4" s="138"/>
      <c r="G4" s="138"/>
      <c r="H4" s="138"/>
      <c r="I4" s="138"/>
      <c r="K4" s="138" t="s">
        <v>382</v>
      </c>
      <c r="L4" s="138"/>
      <c r="M4" s="138"/>
      <c r="N4" s="138"/>
      <c r="O4" s="138"/>
      <c r="P4" s="138"/>
      <c r="S4" s="32" t="s">
        <v>383</v>
      </c>
      <c r="T4" s="138" t="s">
        <v>25</v>
      </c>
      <c r="U4" s="138"/>
      <c r="V4" s="138"/>
      <c r="W4" s="138"/>
      <c r="X4" s="138"/>
      <c r="Y4" s="138"/>
      <c r="AA4" s="138" t="s">
        <v>26</v>
      </c>
      <c r="AB4" s="138"/>
      <c r="AC4" s="138"/>
      <c r="AD4" s="138"/>
      <c r="AE4" s="138"/>
      <c r="AF4" s="138"/>
    </row>
    <row r="5" spans="2:32" ht="15" customHeight="1">
      <c r="C5" s="32" t="s">
        <v>384</v>
      </c>
      <c r="D5" s="42" t="s">
        <v>242</v>
      </c>
      <c r="E5" s="42" t="s">
        <v>243</v>
      </c>
      <c r="F5" s="42" t="s">
        <v>244</v>
      </c>
      <c r="G5" s="42" t="s">
        <v>245</v>
      </c>
      <c r="H5" s="42" t="s">
        <v>246</v>
      </c>
      <c r="I5" s="42" t="s">
        <v>247</v>
      </c>
      <c r="K5" s="42" t="s">
        <v>242</v>
      </c>
      <c r="L5" s="42" t="s">
        <v>243</v>
      </c>
      <c r="M5" s="42" t="s">
        <v>244</v>
      </c>
      <c r="N5" s="42" t="s">
        <v>245</v>
      </c>
      <c r="O5" s="42" t="s">
        <v>246</v>
      </c>
      <c r="P5" s="42" t="s">
        <v>247</v>
      </c>
      <c r="S5" s="32" t="s">
        <v>24</v>
      </c>
      <c r="T5" s="42" t="s">
        <v>242</v>
      </c>
      <c r="U5" s="42" t="s">
        <v>243</v>
      </c>
      <c r="V5" s="42" t="s">
        <v>244</v>
      </c>
      <c r="W5" s="42" t="s">
        <v>245</v>
      </c>
      <c r="X5" s="42" t="s">
        <v>246</v>
      </c>
      <c r="Y5" s="42" t="s">
        <v>247</v>
      </c>
      <c r="AA5" s="42" t="s">
        <v>242</v>
      </c>
      <c r="AB5" s="42" t="s">
        <v>243</v>
      </c>
      <c r="AC5" s="42" t="s">
        <v>244</v>
      </c>
      <c r="AD5" s="42" t="s">
        <v>245</v>
      </c>
      <c r="AE5" s="42" t="s">
        <v>246</v>
      </c>
      <c r="AF5" s="42" t="s">
        <v>247</v>
      </c>
    </row>
    <row r="6" spans="2:32" ht="15" customHeight="1">
      <c r="C6" s="100" t="s">
        <v>385</v>
      </c>
      <c r="D6" s="101"/>
      <c r="E6" s="101"/>
      <c r="F6" s="101"/>
      <c r="G6" s="101"/>
      <c r="H6" s="101"/>
      <c r="I6" s="101"/>
      <c r="K6" s="101"/>
      <c r="L6" s="101"/>
      <c r="M6" s="101"/>
      <c r="N6" s="101"/>
      <c r="O6" s="101"/>
      <c r="P6" s="101"/>
      <c r="S6" s="100" t="s">
        <v>385</v>
      </c>
      <c r="T6" s="102" t="str">
        <f t="shared" ref="T6:T22" si="0">IF(OR(D$6="",D$6=0),"",D6/D$6)</f>
        <v/>
      </c>
      <c r="U6" s="102" t="str">
        <f t="shared" ref="U6:U22" si="1">IF(OR(E$6="",E$6=0),"",E6/E$6)</f>
        <v/>
      </c>
      <c r="V6" s="102" t="str">
        <f t="shared" ref="V6:V22" si="2">IF(OR(F$6="",F$6=0),"",F6/F$6)</f>
        <v/>
      </c>
      <c r="W6" s="102" t="str">
        <f t="shared" ref="W6:W22" si="3">IF(OR(G$6="",G$6=0),"",G6/G$6)</f>
        <v/>
      </c>
      <c r="X6" s="102" t="str">
        <f t="shared" ref="X6:X22" si="4">IF(OR(H$6="",H$6=0),"",H6/H$6)</f>
        <v/>
      </c>
      <c r="Y6" s="102" t="str">
        <f t="shared" ref="Y6:Y22" si="5">IF(OR(I$6="",I$6=0),"",I6/I$6)</f>
        <v/>
      </c>
      <c r="AA6" s="102" t="str">
        <f t="shared" ref="AA6:AA22" si="6">IF(OR(K$6="",K$6=0),"",K6/K$6)</f>
        <v/>
      </c>
      <c r="AB6" s="102" t="str">
        <f t="shared" ref="AB6:AB22" si="7">IF(OR(L$6="",L$6=0),"",L6/L$6)</f>
        <v/>
      </c>
      <c r="AC6" s="102" t="str">
        <f t="shared" ref="AC6:AC22" si="8">IF(OR(M$6="",M$6=0),"",M6/M$6)</f>
        <v/>
      </c>
      <c r="AD6" s="102" t="str">
        <f t="shared" ref="AD6:AD22" si="9">IF(OR(N$6="",N$6=0),"",N6/N$6)</f>
        <v/>
      </c>
      <c r="AE6" s="102" t="str">
        <f t="shared" ref="AE6:AE22" si="10">IF(OR(O$6="",O$6=0),"",O6/O$6)</f>
        <v/>
      </c>
      <c r="AF6" s="102" t="str">
        <f t="shared" ref="AF6:AF22" si="11">IF(OR(P$6="",P$6=0),"",P6/P$6)</f>
        <v/>
      </c>
    </row>
    <row r="7" spans="2:32" ht="15" customHeight="1">
      <c r="C7" s="100" t="s">
        <v>386</v>
      </c>
      <c r="D7" s="101"/>
      <c r="E7" s="101"/>
      <c r="F7" s="101"/>
      <c r="G7" s="101"/>
      <c r="H7" s="101"/>
      <c r="I7" s="101"/>
      <c r="K7" s="101"/>
      <c r="L7" s="101"/>
      <c r="M7" s="101"/>
      <c r="N7" s="101"/>
      <c r="O7" s="101"/>
      <c r="P7" s="101"/>
      <c r="S7" s="100" t="s">
        <v>386</v>
      </c>
      <c r="T7" s="102" t="str">
        <f t="shared" si="0"/>
        <v/>
      </c>
      <c r="U7" s="102" t="str">
        <f t="shared" si="1"/>
        <v/>
      </c>
      <c r="V7" s="102" t="str">
        <f t="shared" si="2"/>
        <v/>
      </c>
      <c r="W7" s="102" t="str">
        <f t="shared" si="3"/>
        <v/>
      </c>
      <c r="X7" s="102" t="str">
        <f t="shared" si="4"/>
        <v/>
      </c>
      <c r="Y7" s="102" t="str">
        <f t="shared" si="5"/>
        <v/>
      </c>
      <c r="AA7" s="102" t="str">
        <f t="shared" si="6"/>
        <v/>
      </c>
      <c r="AB7" s="102" t="str">
        <f t="shared" si="7"/>
        <v/>
      </c>
      <c r="AC7" s="102" t="str">
        <f t="shared" si="8"/>
        <v/>
      </c>
      <c r="AD7" s="102" t="str">
        <f t="shared" si="9"/>
        <v/>
      </c>
      <c r="AE7" s="102" t="str">
        <f t="shared" si="10"/>
        <v/>
      </c>
      <c r="AF7" s="102" t="str">
        <f t="shared" si="11"/>
        <v/>
      </c>
    </row>
    <row r="8" spans="2:32" ht="15" customHeight="1">
      <c r="C8" s="103" t="s">
        <v>387</v>
      </c>
      <c r="D8" s="104">
        <f t="shared" ref="D8:I8" si="12">D6-D7</f>
        <v>0</v>
      </c>
      <c r="E8" s="104">
        <f t="shared" si="12"/>
        <v>0</v>
      </c>
      <c r="F8" s="104">
        <f t="shared" si="12"/>
        <v>0</v>
      </c>
      <c r="G8" s="104">
        <f t="shared" si="12"/>
        <v>0</v>
      </c>
      <c r="H8" s="104">
        <f t="shared" si="12"/>
        <v>0</v>
      </c>
      <c r="I8" s="104">
        <f t="shared" si="12"/>
        <v>0</v>
      </c>
      <c r="K8" s="104">
        <f t="shared" ref="K8:P8" si="13">K6-K7</f>
        <v>0</v>
      </c>
      <c r="L8" s="104">
        <f t="shared" si="13"/>
        <v>0</v>
      </c>
      <c r="M8" s="104">
        <f t="shared" si="13"/>
        <v>0</v>
      </c>
      <c r="N8" s="104">
        <f t="shared" si="13"/>
        <v>0</v>
      </c>
      <c r="O8" s="104">
        <f t="shared" si="13"/>
        <v>0</v>
      </c>
      <c r="P8" s="104">
        <f t="shared" si="13"/>
        <v>0</v>
      </c>
      <c r="S8" s="103" t="s">
        <v>388</v>
      </c>
      <c r="T8" s="102" t="str">
        <f t="shared" si="0"/>
        <v/>
      </c>
      <c r="U8" s="102" t="str">
        <f t="shared" si="1"/>
        <v/>
      </c>
      <c r="V8" s="102" t="str">
        <f t="shared" si="2"/>
        <v/>
      </c>
      <c r="W8" s="102" t="str">
        <f t="shared" si="3"/>
        <v/>
      </c>
      <c r="X8" s="102" t="str">
        <f t="shared" si="4"/>
        <v/>
      </c>
      <c r="Y8" s="102" t="str">
        <f t="shared" si="5"/>
        <v/>
      </c>
      <c r="AA8" s="102" t="str">
        <f t="shared" si="6"/>
        <v/>
      </c>
      <c r="AB8" s="102" t="str">
        <f t="shared" si="7"/>
        <v/>
      </c>
      <c r="AC8" s="102" t="str">
        <f t="shared" si="8"/>
        <v/>
      </c>
      <c r="AD8" s="102" t="str">
        <f t="shared" si="9"/>
        <v/>
      </c>
      <c r="AE8" s="102" t="str">
        <f t="shared" si="10"/>
        <v/>
      </c>
      <c r="AF8" s="102" t="str">
        <f t="shared" si="11"/>
        <v/>
      </c>
    </row>
    <row r="9" spans="2:32" ht="15" customHeight="1">
      <c r="C9" s="100" t="s">
        <v>389</v>
      </c>
      <c r="D9" s="101"/>
      <c r="E9" s="101"/>
      <c r="F9" s="101"/>
      <c r="G9" s="101"/>
      <c r="H9" s="101"/>
      <c r="I9" s="101"/>
      <c r="K9" s="101"/>
      <c r="L9" s="101"/>
      <c r="M9" s="101"/>
      <c r="N9" s="101"/>
      <c r="O9" s="101"/>
      <c r="P9" s="101"/>
      <c r="S9" s="100" t="s">
        <v>389</v>
      </c>
      <c r="T9" s="102" t="str">
        <f t="shared" si="0"/>
        <v/>
      </c>
      <c r="U9" s="102" t="str">
        <f t="shared" si="1"/>
        <v/>
      </c>
      <c r="V9" s="102" t="str">
        <f t="shared" si="2"/>
        <v/>
      </c>
      <c r="W9" s="102" t="str">
        <f t="shared" si="3"/>
        <v/>
      </c>
      <c r="X9" s="102" t="str">
        <f t="shared" si="4"/>
        <v/>
      </c>
      <c r="Y9" s="102" t="str">
        <f t="shared" si="5"/>
        <v/>
      </c>
      <c r="AA9" s="102" t="str">
        <f t="shared" si="6"/>
        <v/>
      </c>
      <c r="AB9" s="102" t="str">
        <f t="shared" si="7"/>
        <v/>
      </c>
      <c r="AC9" s="102" t="str">
        <f t="shared" si="8"/>
        <v/>
      </c>
      <c r="AD9" s="102" t="str">
        <f t="shared" si="9"/>
        <v/>
      </c>
      <c r="AE9" s="102" t="str">
        <f t="shared" si="10"/>
        <v/>
      </c>
      <c r="AF9" s="102" t="str">
        <f t="shared" si="11"/>
        <v/>
      </c>
    </row>
    <row r="10" spans="2:32" ht="15" customHeight="1">
      <c r="C10" s="103" t="s">
        <v>390</v>
      </c>
      <c r="D10" s="104">
        <f t="shared" ref="D10:I10" si="14">D8-D9</f>
        <v>0</v>
      </c>
      <c r="E10" s="104">
        <f t="shared" si="14"/>
        <v>0</v>
      </c>
      <c r="F10" s="104">
        <f t="shared" si="14"/>
        <v>0</v>
      </c>
      <c r="G10" s="104">
        <f t="shared" si="14"/>
        <v>0</v>
      </c>
      <c r="H10" s="104">
        <f t="shared" si="14"/>
        <v>0</v>
      </c>
      <c r="I10" s="104">
        <f t="shared" si="14"/>
        <v>0</v>
      </c>
      <c r="K10" s="104">
        <f t="shared" ref="K10:P10" si="15">K8-K9</f>
        <v>0</v>
      </c>
      <c r="L10" s="104">
        <f t="shared" si="15"/>
        <v>0</v>
      </c>
      <c r="M10" s="104">
        <f t="shared" si="15"/>
        <v>0</v>
      </c>
      <c r="N10" s="104">
        <f t="shared" si="15"/>
        <v>0</v>
      </c>
      <c r="O10" s="104">
        <f t="shared" si="15"/>
        <v>0</v>
      </c>
      <c r="P10" s="104">
        <f t="shared" si="15"/>
        <v>0</v>
      </c>
      <c r="S10" s="183" t="s">
        <v>391</v>
      </c>
      <c r="T10" s="126" t="str">
        <f t="shared" si="0"/>
        <v/>
      </c>
      <c r="U10" s="126" t="str">
        <f t="shared" si="1"/>
        <v/>
      </c>
      <c r="V10" s="126" t="str">
        <f t="shared" si="2"/>
        <v/>
      </c>
      <c r="W10" s="126" t="str">
        <f t="shared" si="3"/>
        <v/>
      </c>
      <c r="X10" s="126" t="str">
        <f t="shared" si="4"/>
        <v/>
      </c>
      <c r="Y10" s="126" t="str">
        <f t="shared" si="5"/>
        <v/>
      </c>
      <c r="Z10" s="127"/>
      <c r="AA10" s="126" t="str">
        <f t="shared" si="6"/>
        <v/>
      </c>
      <c r="AB10" s="126" t="str">
        <f t="shared" si="7"/>
        <v/>
      </c>
      <c r="AC10" s="126" t="str">
        <f t="shared" si="8"/>
        <v/>
      </c>
      <c r="AD10" s="126" t="str">
        <f t="shared" si="9"/>
        <v/>
      </c>
      <c r="AE10" s="126" t="str">
        <f t="shared" si="10"/>
        <v/>
      </c>
      <c r="AF10" s="126" t="str">
        <f t="shared" si="11"/>
        <v/>
      </c>
    </row>
    <row r="11" spans="2:32" ht="15" customHeight="1">
      <c r="C11" s="100" t="s">
        <v>392</v>
      </c>
      <c r="D11" s="101"/>
      <c r="E11" s="101"/>
      <c r="F11" s="101"/>
      <c r="G11" s="101"/>
      <c r="H11" s="101"/>
      <c r="I11" s="101"/>
      <c r="K11" s="101"/>
      <c r="L11" s="101"/>
      <c r="M11" s="101"/>
      <c r="N11" s="101"/>
      <c r="O11" s="101"/>
      <c r="P11" s="101"/>
      <c r="S11" s="100"/>
      <c r="T11" s="102" t="str">
        <f t="shared" si="0"/>
        <v/>
      </c>
      <c r="U11" s="102" t="str">
        <f t="shared" si="1"/>
        <v/>
      </c>
      <c r="V11" s="102" t="str">
        <f t="shared" si="2"/>
        <v/>
      </c>
      <c r="W11" s="102" t="str">
        <f t="shared" si="3"/>
        <v/>
      </c>
      <c r="X11" s="102" t="str">
        <f t="shared" si="4"/>
        <v/>
      </c>
      <c r="Y11" s="102" t="str">
        <f t="shared" si="5"/>
        <v/>
      </c>
      <c r="AA11" s="102" t="str">
        <f t="shared" si="6"/>
        <v/>
      </c>
      <c r="AB11" s="102" t="str">
        <f t="shared" si="7"/>
        <v/>
      </c>
      <c r="AC11" s="102" t="str">
        <f t="shared" si="8"/>
        <v/>
      </c>
      <c r="AD11" s="102" t="str">
        <f t="shared" si="9"/>
        <v/>
      </c>
      <c r="AE11" s="102" t="str">
        <f t="shared" si="10"/>
        <v/>
      </c>
      <c r="AF11" s="102" t="str">
        <f t="shared" si="11"/>
        <v/>
      </c>
    </row>
    <row r="12" spans="2:32" ht="15" customHeight="1">
      <c r="C12" s="100" t="s">
        <v>393</v>
      </c>
      <c r="D12" s="101"/>
      <c r="E12" s="101"/>
      <c r="F12" s="101"/>
      <c r="G12" s="101"/>
      <c r="H12" s="101"/>
      <c r="I12" s="101"/>
      <c r="K12" s="101"/>
      <c r="L12" s="101"/>
      <c r="M12" s="101"/>
      <c r="N12" s="101"/>
      <c r="O12" s="101"/>
      <c r="P12" s="101"/>
      <c r="S12" s="100"/>
      <c r="T12" s="102" t="str">
        <f t="shared" si="0"/>
        <v/>
      </c>
      <c r="U12" s="102" t="str">
        <f t="shared" si="1"/>
        <v/>
      </c>
      <c r="V12" s="102" t="str">
        <f t="shared" si="2"/>
        <v/>
      </c>
      <c r="W12" s="102" t="str">
        <f t="shared" si="3"/>
        <v/>
      </c>
      <c r="X12" s="102" t="str">
        <f t="shared" si="4"/>
        <v/>
      </c>
      <c r="Y12" s="102" t="str">
        <f t="shared" si="5"/>
        <v/>
      </c>
      <c r="AA12" s="102" t="str">
        <f t="shared" si="6"/>
        <v/>
      </c>
      <c r="AB12" s="102" t="str">
        <f t="shared" si="7"/>
        <v/>
      </c>
      <c r="AC12" s="102" t="str">
        <f t="shared" si="8"/>
        <v/>
      </c>
      <c r="AD12" s="102" t="str">
        <f t="shared" si="9"/>
        <v/>
      </c>
      <c r="AE12" s="102" t="str">
        <f t="shared" si="10"/>
        <v/>
      </c>
      <c r="AF12" s="102" t="str">
        <f t="shared" si="11"/>
        <v/>
      </c>
    </row>
    <row r="13" spans="2:32" ht="15" customHeight="1">
      <c r="C13" s="100" t="s">
        <v>394</v>
      </c>
      <c r="D13" s="101"/>
      <c r="E13" s="101"/>
      <c r="F13" s="101"/>
      <c r="G13" s="101"/>
      <c r="H13" s="101"/>
      <c r="I13" s="101"/>
      <c r="K13" s="101"/>
      <c r="L13" s="101"/>
      <c r="M13" s="101"/>
      <c r="N13" s="101"/>
      <c r="O13" s="101"/>
      <c r="P13" s="101"/>
      <c r="S13" s="100" t="s">
        <v>394</v>
      </c>
      <c r="T13" s="102" t="str">
        <f t="shared" si="0"/>
        <v/>
      </c>
      <c r="U13" s="102" t="str">
        <f t="shared" si="1"/>
        <v/>
      </c>
      <c r="V13" s="102" t="str">
        <f t="shared" si="2"/>
        <v/>
      </c>
      <c r="W13" s="102" t="str">
        <f t="shared" si="3"/>
        <v/>
      </c>
      <c r="X13" s="102" t="str">
        <f t="shared" si="4"/>
        <v/>
      </c>
      <c r="Y13" s="102" t="str">
        <f t="shared" si="5"/>
        <v/>
      </c>
      <c r="AA13" s="102" t="str">
        <f t="shared" si="6"/>
        <v/>
      </c>
      <c r="AB13" s="102" t="str">
        <f t="shared" si="7"/>
        <v/>
      </c>
      <c r="AC13" s="102" t="str">
        <f t="shared" si="8"/>
        <v/>
      </c>
      <c r="AD13" s="102" t="str">
        <f t="shared" si="9"/>
        <v/>
      </c>
      <c r="AE13" s="102" t="str">
        <f t="shared" si="10"/>
        <v/>
      </c>
      <c r="AF13" s="102" t="str">
        <f t="shared" si="11"/>
        <v/>
      </c>
    </row>
    <row r="14" spans="2:32" ht="15" customHeight="1">
      <c r="C14" s="100" t="s">
        <v>395</v>
      </c>
      <c r="D14" s="101"/>
      <c r="E14" s="101"/>
      <c r="F14" s="101"/>
      <c r="G14" s="101"/>
      <c r="H14" s="101"/>
      <c r="I14" s="101"/>
      <c r="K14" s="101"/>
      <c r="L14" s="101"/>
      <c r="M14" s="101"/>
      <c r="N14" s="101"/>
      <c r="O14" s="101"/>
      <c r="P14" s="101"/>
      <c r="S14" s="100" t="s">
        <v>396</v>
      </c>
      <c r="T14" s="102" t="str">
        <f t="shared" si="0"/>
        <v/>
      </c>
      <c r="U14" s="102" t="str">
        <f t="shared" si="1"/>
        <v/>
      </c>
      <c r="V14" s="102" t="str">
        <f t="shared" si="2"/>
        <v/>
      </c>
      <c r="W14" s="102" t="str">
        <f t="shared" si="3"/>
        <v/>
      </c>
      <c r="X14" s="102" t="str">
        <f t="shared" si="4"/>
        <v/>
      </c>
      <c r="Y14" s="102" t="str">
        <f t="shared" si="5"/>
        <v/>
      </c>
      <c r="AA14" s="102" t="str">
        <f t="shared" si="6"/>
        <v/>
      </c>
      <c r="AB14" s="102" t="str">
        <f t="shared" si="7"/>
        <v/>
      </c>
      <c r="AC14" s="102" t="str">
        <f t="shared" si="8"/>
        <v/>
      </c>
      <c r="AD14" s="102" t="str">
        <f t="shared" si="9"/>
        <v/>
      </c>
      <c r="AE14" s="102" t="str">
        <f t="shared" si="10"/>
        <v/>
      </c>
      <c r="AF14" s="102" t="str">
        <f t="shared" si="11"/>
        <v/>
      </c>
    </row>
    <row r="15" spans="2:32" ht="15" customHeight="1">
      <c r="C15" s="100" t="s">
        <v>397</v>
      </c>
      <c r="D15" s="101"/>
      <c r="E15" s="101"/>
      <c r="F15" s="101"/>
      <c r="G15" s="101"/>
      <c r="H15" s="101"/>
      <c r="I15" s="101"/>
      <c r="K15" s="101"/>
      <c r="L15" s="101"/>
      <c r="M15" s="101"/>
      <c r="N15" s="101"/>
      <c r="O15" s="101"/>
      <c r="P15" s="101"/>
      <c r="S15" s="100"/>
      <c r="T15" s="102" t="str">
        <f t="shared" si="0"/>
        <v/>
      </c>
      <c r="U15" s="102" t="str">
        <f t="shared" si="1"/>
        <v/>
      </c>
      <c r="V15" s="102" t="str">
        <f t="shared" si="2"/>
        <v/>
      </c>
      <c r="W15" s="102" t="str">
        <f t="shared" si="3"/>
        <v/>
      </c>
      <c r="X15" s="102" t="str">
        <f t="shared" si="4"/>
        <v/>
      </c>
      <c r="Y15" s="102" t="str">
        <f t="shared" si="5"/>
        <v/>
      </c>
      <c r="AA15" s="102" t="str">
        <f t="shared" si="6"/>
        <v/>
      </c>
      <c r="AB15" s="102" t="str">
        <f t="shared" si="7"/>
        <v/>
      </c>
      <c r="AC15" s="102" t="str">
        <f t="shared" si="8"/>
        <v/>
      </c>
      <c r="AD15" s="102" t="str">
        <f t="shared" si="9"/>
        <v/>
      </c>
      <c r="AE15" s="102" t="str">
        <f t="shared" si="10"/>
        <v/>
      </c>
      <c r="AF15" s="102" t="str">
        <f t="shared" si="11"/>
        <v/>
      </c>
    </row>
    <row r="16" spans="2:32" ht="44.25" customHeight="1">
      <c r="C16" s="100" t="s">
        <v>398</v>
      </c>
      <c r="D16" s="104" t="str">
        <f t="shared" ref="D16:I16" si="16">IF(D17="","",N(D11)-N(D12)+N(D13)-N(D14)+N(D15))</f>
        <v/>
      </c>
      <c r="E16" s="104" t="str">
        <f t="shared" si="16"/>
        <v/>
      </c>
      <c r="F16" s="104" t="str">
        <f t="shared" si="16"/>
        <v/>
      </c>
      <c r="G16" s="104" t="str">
        <f t="shared" si="16"/>
        <v/>
      </c>
      <c r="H16" s="104" t="str">
        <f t="shared" si="16"/>
        <v/>
      </c>
      <c r="I16" s="104" t="str">
        <f t="shared" si="16"/>
        <v/>
      </c>
      <c r="K16" s="104" t="str">
        <f t="shared" ref="K16:P16" si="17">IF(K17="","",N(K11)-N(K12)+N(K13)-N(K14)+N(K15))</f>
        <v/>
      </c>
      <c r="L16" s="104" t="str">
        <f t="shared" si="17"/>
        <v/>
      </c>
      <c r="M16" s="104" t="str">
        <f t="shared" si="17"/>
        <v/>
      </c>
      <c r="N16" s="104" t="str">
        <f t="shared" si="17"/>
        <v/>
      </c>
      <c r="O16" s="104" t="str">
        <f t="shared" si="17"/>
        <v/>
      </c>
      <c r="P16" s="104" t="str">
        <f t="shared" si="17"/>
        <v/>
      </c>
      <c r="S16" s="100" t="s">
        <v>399</v>
      </c>
      <c r="T16" s="102" t="str">
        <f t="shared" si="0"/>
        <v/>
      </c>
      <c r="U16" s="102" t="str">
        <f t="shared" si="1"/>
        <v/>
      </c>
      <c r="V16" s="102" t="str">
        <f t="shared" si="2"/>
        <v/>
      </c>
      <c r="W16" s="102" t="str">
        <f t="shared" si="3"/>
        <v/>
      </c>
      <c r="X16" s="102" t="str">
        <f t="shared" si="4"/>
        <v/>
      </c>
      <c r="Y16" s="102" t="str">
        <f t="shared" si="5"/>
        <v/>
      </c>
      <c r="AA16" s="102" t="str">
        <f t="shared" si="6"/>
        <v/>
      </c>
      <c r="AB16" s="102" t="str">
        <f t="shared" si="7"/>
        <v/>
      </c>
      <c r="AC16" s="102" t="str">
        <f t="shared" si="8"/>
        <v/>
      </c>
      <c r="AD16" s="102" t="str">
        <f t="shared" si="9"/>
        <v/>
      </c>
      <c r="AE16" s="102" t="str">
        <f t="shared" si="10"/>
        <v/>
      </c>
      <c r="AF16" s="102" t="str">
        <f t="shared" si="11"/>
        <v/>
      </c>
    </row>
    <row r="17" spans="3:32" ht="15" customHeight="1">
      <c r="C17" s="100" t="s">
        <v>400</v>
      </c>
      <c r="D17" s="101"/>
      <c r="E17" s="101"/>
      <c r="F17" s="101"/>
      <c r="G17" s="101"/>
      <c r="H17" s="101"/>
      <c r="I17" s="101"/>
      <c r="K17" s="101"/>
      <c r="L17" s="101"/>
      <c r="M17" s="101"/>
      <c r="N17" s="101"/>
      <c r="O17" s="101"/>
      <c r="P17" s="101"/>
      <c r="S17" s="100" t="s">
        <v>400</v>
      </c>
      <c r="T17" s="102" t="str">
        <f t="shared" si="0"/>
        <v/>
      </c>
      <c r="U17" s="102" t="str">
        <f t="shared" si="1"/>
        <v/>
      </c>
      <c r="V17" s="102" t="str">
        <f t="shared" si="2"/>
        <v/>
      </c>
      <c r="W17" s="102" t="str">
        <f t="shared" si="3"/>
        <v/>
      </c>
      <c r="X17" s="102" t="str">
        <f t="shared" si="4"/>
        <v/>
      </c>
      <c r="Y17" s="102" t="str">
        <f t="shared" si="5"/>
        <v/>
      </c>
      <c r="AA17" s="102" t="str">
        <f t="shared" si="6"/>
        <v/>
      </c>
      <c r="AB17" s="102" t="str">
        <f t="shared" si="7"/>
        <v/>
      </c>
      <c r="AC17" s="102" t="str">
        <f t="shared" si="8"/>
        <v/>
      </c>
      <c r="AD17" s="102" t="str">
        <f t="shared" si="9"/>
        <v/>
      </c>
      <c r="AE17" s="102" t="str">
        <f t="shared" si="10"/>
        <v/>
      </c>
      <c r="AF17" s="102" t="str">
        <f t="shared" si="11"/>
        <v/>
      </c>
    </row>
    <row r="18" spans="3:32" ht="30.75" customHeight="1">
      <c r="C18" s="100" t="s">
        <v>401</v>
      </c>
      <c r="D18" s="104" t="str">
        <f t="shared" ref="D18:I18" si="18">IF(OR(D17="",D20=""),"",D17-(D20-N(D19)))</f>
        <v/>
      </c>
      <c r="E18" s="104" t="str">
        <f t="shared" si="18"/>
        <v/>
      </c>
      <c r="F18" s="104" t="str">
        <f t="shared" si="18"/>
        <v/>
      </c>
      <c r="G18" s="104" t="str">
        <f t="shared" si="18"/>
        <v/>
      </c>
      <c r="H18" s="104" t="str">
        <f t="shared" si="18"/>
        <v/>
      </c>
      <c r="I18" s="104" t="str">
        <f t="shared" si="18"/>
        <v/>
      </c>
      <c r="K18" s="104" t="str">
        <f t="shared" ref="K18:P18" si="19">IF(OR(K17="",K20=""),"",K17-(K20-N(K19)))</f>
        <v/>
      </c>
      <c r="L18" s="104" t="str">
        <f t="shared" si="19"/>
        <v/>
      </c>
      <c r="M18" s="104" t="str">
        <f t="shared" si="19"/>
        <v/>
      </c>
      <c r="N18" s="104" t="str">
        <f t="shared" si="19"/>
        <v/>
      </c>
      <c r="O18" s="104" t="str">
        <f t="shared" si="19"/>
        <v/>
      </c>
      <c r="P18" s="104" t="str">
        <f t="shared" si="19"/>
        <v/>
      </c>
      <c r="S18" s="100" t="s">
        <v>402</v>
      </c>
      <c r="T18" s="102" t="str">
        <f t="shared" si="0"/>
        <v/>
      </c>
      <c r="U18" s="102" t="str">
        <f t="shared" si="1"/>
        <v/>
      </c>
      <c r="V18" s="102" t="str">
        <f t="shared" si="2"/>
        <v/>
      </c>
      <c r="W18" s="102" t="str">
        <f t="shared" si="3"/>
        <v/>
      </c>
      <c r="X18" s="102" t="str">
        <f t="shared" si="4"/>
        <v/>
      </c>
      <c r="Y18" s="102" t="str">
        <f t="shared" si="5"/>
        <v/>
      </c>
      <c r="AA18" s="102" t="str">
        <f t="shared" si="6"/>
        <v/>
      </c>
      <c r="AB18" s="102" t="str">
        <f t="shared" si="7"/>
        <v/>
      </c>
      <c r="AC18" s="102" t="str">
        <f t="shared" si="8"/>
        <v/>
      </c>
      <c r="AD18" s="102" t="str">
        <f t="shared" si="9"/>
        <v/>
      </c>
      <c r="AE18" s="102" t="str">
        <f t="shared" si="10"/>
        <v/>
      </c>
      <c r="AF18" s="102" t="str">
        <f t="shared" si="11"/>
        <v/>
      </c>
    </row>
    <row r="19" spans="3:32" ht="15" customHeight="1">
      <c r="C19" s="100" t="s">
        <v>403</v>
      </c>
      <c r="D19" s="101"/>
      <c r="E19" s="101"/>
      <c r="F19" s="101"/>
      <c r="G19" s="101"/>
      <c r="H19" s="101"/>
      <c r="I19" s="101"/>
      <c r="K19" s="101"/>
      <c r="L19" s="101"/>
      <c r="M19" s="101"/>
      <c r="N19" s="101"/>
      <c r="O19" s="101"/>
      <c r="P19" s="101"/>
      <c r="S19" s="100"/>
      <c r="T19" s="102" t="str">
        <f t="shared" si="0"/>
        <v/>
      </c>
      <c r="U19" s="102" t="str">
        <f t="shared" si="1"/>
        <v/>
      </c>
      <c r="V19" s="102" t="str">
        <f t="shared" si="2"/>
        <v/>
      </c>
      <c r="W19" s="102" t="str">
        <f t="shared" si="3"/>
        <v/>
      </c>
      <c r="X19" s="102" t="str">
        <f t="shared" si="4"/>
        <v/>
      </c>
      <c r="Y19" s="102" t="str">
        <f t="shared" si="5"/>
        <v/>
      </c>
      <c r="AA19" s="102" t="str">
        <f t="shared" si="6"/>
        <v/>
      </c>
      <c r="AB19" s="102" t="str">
        <f t="shared" si="7"/>
        <v/>
      </c>
      <c r="AC19" s="102" t="str">
        <f t="shared" si="8"/>
        <v/>
      </c>
      <c r="AD19" s="102" t="str">
        <f t="shared" si="9"/>
        <v/>
      </c>
      <c r="AE19" s="102" t="str">
        <f t="shared" si="10"/>
        <v/>
      </c>
      <c r="AF19" s="102" t="str">
        <f t="shared" si="11"/>
        <v/>
      </c>
    </row>
    <row r="20" spans="3:32" ht="15" customHeight="1">
      <c r="C20" s="103" t="s">
        <v>404</v>
      </c>
      <c r="D20" s="101"/>
      <c r="E20" s="101"/>
      <c r="F20" s="101"/>
      <c r="G20" s="101"/>
      <c r="H20" s="101"/>
      <c r="I20" s="101"/>
      <c r="K20" s="101"/>
      <c r="L20" s="101"/>
      <c r="M20" s="101"/>
      <c r="N20" s="101"/>
      <c r="O20" s="101"/>
      <c r="P20" s="101"/>
      <c r="S20" s="103" t="s">
        <v>404</v>
      </c>
      <c r="T20" s="102" t="str">
        <f t="shared" si="0"/>
        <v/>
      </c>
      <c r="U20" s="102" t="str">
        <f t="shared" si="1"/>
        <v/>
      </c>
      <c r="V20" s="102" t="str">
        <f t="shared" si="2"/>
        <v/>
      </c>
      <c r="W20" s="102" t="str">
        <f t="shared" si="3"/>
        <v/>
      </c>
      <c r="X20" s="102" t="str">
        <f t="shared" si="4"/>
        <v/>
      </c>
      <c r="Y20" s="102" t="str">
        <f t="shared" si="5"/>
        <v/>
      </c>
      <c r="AA20" s="102" t="str">
        <f t="shared" si="6"/>
        <v/>
      </c>
      <c r="AB20" s="102" t="str">
        <f t="shared" si="7"/>
        <v/>
      </c>
      <c r="AC20" s="102" t="str">
        <f t="shared" si="8"/>
        <v/>
      </c>
      <c r="AD20" s="102" t="str">
        <f t="shared" si="9"/>
        <v/>
      </c>
      <c r="AE20" s="102" t="str">
        <f t="shared" si="10"/>
        <v/>
      </c>
      <c r="AF20" s="102" t="str">
        <f t="shared" si="11"/>
        <v/>
      </c>
    </row>
    <row r="21" spans="3:32" ht="15" customHeight="1">
      <c r="C21" s="100" t="s">
        <v>405</v>
      </c>
      <c r="D21" s="101"/>
      <c r="E21" s="101"/>
      <c r="F21" s="101"/>
      <c r="G21" s="101"/>
      <c r="H21" s="101"/>
      <c r="I21" s="101"/>
      <c r="K21" s="101"/>
      <c r="L21" s="101"/>
      <c r="M21" s="101"/>
      <c r="N21" s="101"/>
      <c r="O21" s="101"/>
      <c r="P21" s="101"/>
      <c r="S21" s="100" t="s">
        <v>406</v>
      </c>
      <c r="T21" s="102" t="str">
        <f t="shared" si="0"/>
        <v/>
      </c>
      <c r="U21" s="102" t="str">
        <f t="shared" si="1"/>
        <v/>
      </c>
      <c r="V21" s="102" t="str">
        <f t="shared" si="2"/>
        <v/>
      </c>
      <c r="W21" s="102" t="str">
        <f t="shared" si="3"/>
        <v/>
      </c>
      <c r="X21" s="102" t="str">
        <f t="shared" si="4"/>
        <v/>
      </c>
      <c r="Y21" s="102" t="str">
        <f t="shared" si="5"/>
        <v/>
      </c>
      <c r="AA21" s="102" t="str">
        <f t="shared" si="6"/>
        <v/>
      </c>
      <c r="AB21" s="102" t="str">
        <f t="shared" si="7"/>
        <v/>
      </c>
      <c r="AC21" s="102" t="str">
        <f t="shared" si="8"/>
        <v/>
      </c>
      <c r="AD21" s="102" t="str">
        <f t="shared" si="9"/>
        <v/>
      </c>
      <c r="AE21" s="102" t="str">
        <f t="shared" si="10"/>
        <v/>
      </c>
      <c r="AF21" s="102" t="str">
        <f t="shared" si="11"/>
        <v/>
      </c>
    </row>
    <row r="22" spans="3:32" ht="30.75" customHeight="1">
      <c r="C22" s="100" t="s">
        <v>407</v>
      </c>
      <c r="D22" s="104" t="str">
        <f t="shared" ref="D22:I22" si="20">IF(OR(D20="",D21=""),"",D20-D21)</f>
        <v/>
      </c>
      <c r="E22" s="104" t="str">
        <f t="shared" si="20"/>
        <v/>
      </c>
      <c r="F22" s="104" t="str">
        <f t="shared" si="20"/>
        <v/>
      </c>
      <c r="G22" s="104" t="str">
        <f t="shared" si="20"/>
        <v/>
      </c>
      <c r="H22" s="104" t="str">
        <f t="shared" si="20"/>
        <v/>
      </c>
      <c r="I22" s="104" t="str">
        <f t="shared" si="20"/>
        <v/>
      </c>
      <c r="K22" s="104" t="str">
        <f t="shared" ref="K22:P22" si="21">IF(OR(K20="",K21=""),"",K20-K21)</f>
        <v/>
      </c>
      <c r="L22" s="104" t="str">
        <f t="shared" si="21"/>
        <v/>
      </c>
      <c r="M22" s="104" t="str">
        <f t="shared" si="21"/>
        <v/>
      </c>
      <c r="N22" s="104" t="str">
        <f t="shared" si="21"/>
        <v/>
      </c>
      <c r="O22" s="104" t="str">
        <f t="shared" si="21"/>
        <v/>
      </c>
      <c r="P22" s="104" t="str">
        <f t="shared" si="21"/>
        <v/>
      </c>
      <c r="S22" s="100" t="s">
        <v>408</v>
      </c>
      <c r="T22" s="102" t="str">
        <f t="shared" si="0"/>
        <v/>
      </c>
      <c r="U22" s="102" t="str">
        <f t="shared" si="1"/>
        <v/>
      </c>
      <c r="V22" s="102" t="str">
        <f t="shared" si="2"/>
        <v/>
      </c>
      <c r="W22" s="102" t="str">
        <f t="shared" si="3"/>
        <v/>
      </c>
      <c r="X22" s="102" t="str">
        <f t="shared" si="4"/>
        <v/>
      </c>
      <c r="Y22" s="102" t="str">
        <f t="shared" si="5"/>
        <v/>
      </c>
      <c r="AA22" s="102" t="str">
        <f t="shared" si="6"/>
        <v/>
      </c>
      <c r="AB22" s="102" t="str">
        <f t="shared" si="7"/>
        <v/>
      </c>
      <c r="AC22" s="102" t="str">
        <f t="shared" si="8"/>
        <v/>
      </c>
      <c r="AD22" s="102" t="str">
        <f t="shared" si="9"/>
        <v/>
      </c>
      <c r="AE22" s="102" t="str">
        <f t="shared" si="10"/>
        <v/>
      </c>
      <c r="AF22" s="102" t="str">
        <f t="shared" si="11"/>
        <v/>
      </c>
    </row>
    <row r="23" spans="3:32" ht="15" customHeight="1">
      <c r="C23" s="100" t="s">
        <v>409</v>
      </c>
      <c r="D23" s="105"/>
      <c r="E23" s="105"/>
      <c r="F23" s="105"/>
      <c r="G23" s="105"/>
      <c r="H23" s="105"/>
      <c r="I23" s="105"/>
      <c r="K23" s="105"/>
      <c r="L23" s="105"/>
      <c r="M23" s="105"/>
      <c r="N23" s="105"/>
      <c r="O23" s="105"/>
      <c r="P23" s="105"/>
    </row>
    <row r="24" spans="3:32" ht="15" customHeight="1">
      <c r="C24" s="100" t="s">
        <v>410</v>
      </c>
      <c r="D24" s="105"/>
      <c r="E24" s="105"/>
      <c r="F24" s="105"/>
      <c r="G24" s="105"/>
      <c r="H24" s="105"/>
      <c r="I24" s="105"/>
      <c r="K24" s="105"/>
      <c r="L24" s="105"/>
      <c r="M24" s="105"/>
      <c r="N24" s="105"/>
      <c r="O24" s="105"/>
      <c r="P24" s="105"/>
    </row>
    <row r="25" spans="3:32" ht="44.25" customHeight="1">
      <c r="C25" s="106" t="s">
        <v>411</v>
      </c>
      <c r="D25" s="107" t="str">
        <f>IF(D6="","",IF(ABS(D10-(-37069.534839))&lt;1,"OK","확인"))</f>
        <v/>
      </c>
      <c r="E25" s="107" t="str">
        <f>IF(E6="","",IF(ABS(E10-(34491.517174))&lt;1,"OK","확인"))</f>
        <v/>
      </c>
      <c r="F25" s="107" t="str">
        <f>IF(F6="","",IF(ABS(F10-(46664.445))&lt;1,"OK","확인"))</f>
        <v/>
      </c>
      <c r="G25" s="107" t="str">
        <f>IF(G6="","",IF(ABS(G10-(17322.328805))&lt;1,"OK","확인"))</f>
        <v/>
      </c>
      <c r="H25" s="107" t="str">
        <f>IF(H6="","",IF(ABS(H10-(20348.722593))&lt;1,"OK","확인"))</f>
        <v/>
      </c>
      <c r="I25" s="107" t="str">
        <f>IF(I6="","",IF(ABS(I10-(17004.372389))&lt;1,"OK","확인"))</f>
        <v/>
      </c>
      <c r="K25" s="107" t="str">
        <f>IF(K6="","",IF(ABS(K10-(78059.792591))&lt;1,"OK","확인"))</f>
        <v/>
      </c>
      <c r="L25" s="107" t="str">
        <f>IF(L6="","",IF(ABS(L10-(95611.343317))&lt;1,"OK","확인"))</f>
        <v/>
      </c>
      <c r="M25" s="107" t="str">
        <f>IF(M6="","",IF(ABS(M10-(101378.493271))&lt;1,"OK","확인"))</f>
        <v/>
      </c>
      <c r="N25" s="107" t="str">
        <f>IF(N6="","",IF(ABS(N10-(117781.785955))&lt;1,"OK","확인"))</f>
        <v/>
      </c>
      <c r="O25" s="107" t="str">
        <f>IF(O6="","",IF(ABS(O10-(166229.170618))&lt;1,"OK","확인"))</f>
        <v/>
      </c>
      <c r="P25" s="107" t="str">
        <f>IF(P6="","",IF(ABS(P10-(200851.332915))&lt;1,"OK","확인"))</f>
        <v/>
      </c>
      <c r="S25" s="108" t="s">
        <v>412</v>
      </c>
    </row>
    <row r="26" spans="3:32" ht="44.25" customHeight="1">
      <c r="C26" s="106" t="s">
        <v>413</v>
      </c>
      <c r="D26" s="107" t="str">
        <f t="shared" ref="D26:I26" si="22">IF(OR(D17="",D10=""),"",IF(ABS(D17-(D10+D16))&lt;1,"OK","확인"))</f>
        <v/>
      </c>
      <c r="E26" s="107" t="str">
        <f t="shared" si="22"/>
        <v/>
      </c>
      <c r="F26" s="107" t="str">
        <f t="shared" si="22"/>
        <v/>
      </c>
      <c r="G26" s="107" t="str">
        <f t="shared" si="22"/>
        <v/>
      </c>
      <c r="H26" s="107" t="str">
        <f t="shared" si="22"/>
        <v/>
      </c>
      <c r="I26" s="107" t="str">
        <f t="shared" si="22"/>
        <v/>
      </c>
      <c r="K26" s="107" t="str">
        <f t="shared" ref="K26:P26" si="23">IF(OR(K17="",K10=""),"",IF(ABS(K17-(K10+K16))&lt;1,"OK","확인"))</f>
        <v/>
      </c>
      <c r="L26" s="107" t="str">
        <f t="shared" si="23"/>
        <v/>
      </c>
      <c r="M26" s="107" t="str">
        <f t="shared" si="23"/>
        <v/>
      </c>
      <c r="N26" s="107" t="str">
        <f t="shared" si="23"/>
        <v/>
      </c>
      <c r="O26" s="107" t="str">
        <f t="shared" si="23"/>
        <v/>
      </c>
      <c r="P26" s="107" t="str">
        <f t="shared" si="23"/>
        <v/>
      </c>
      <c r="S26" s="108"/>
    </row>
    <row r="28" spans="3:32">
      <c r="C28" s="139" t="s">
        <v>414</v>
      </c>
      <c r="D28" s="139"/>
      <c r="E28" s="139"/>
      <c r="F28" s="139"/>
      <c r="G28" s="139"/>
      <c r="H28" s="139"/>
      <c r="I28" s="139"/>
      <c r="J28" s="139"/>
      <c r="K28" s="139"/>
    </row>
    <row r="29" spans="3:32" ht="33" customHeight="1">
      <c r="C29" s="32" t="s">
        <v>24</v>
      </c>
      <c r="E29" s="42" t="s">
        <v>243</v>
      </c>
      <c r="F29" s="42" t="s">
        <v>244</v>
      </c>
      <c r="G29" s="42" t="s">
        <v>245</v>
      </c>
      <c r="H29" s="42" t="s">
        <v>246</v>
      </c>
      <c r="I29" s="42" t="s">
        <v>247</v>
      </c>
      <c r="L29" s="42" t="s">
        <v>243</v>
      </c>
      <c r="M29" s="42" t="s">
        <v>244</v>
      </c>
      <c r="N29" s="42" t="s">
        <v>245</v>
      </c>
      <c r="O29" s="42" t="s">
        <v>246</v>
      </c>
      <c r="P29" s="42" t="s">
        <v>247</v>
      </c>
    </row>
    <row r="30" spans="3:32" s="127" customFormat="1" ht="15" customHeight="1">
      <c r="C30" s="184" t="s">
        <v>385</v>
      </c>
      <c r="E30" s="102" t="str">
        <f t="shared" ref="E30:I39" si="24">IF(OR(E6="",D6="",D6=0),"",E6/ABS(D6)-1)</f>
        <v/>
      </c>
      <c r="F30" s="102" t="str">
        <f t="shared" si="24"/>
        <v/>
      </c>
      <c r="G30" s="102" t="str">
        <f t="shared" si="24"/>
        <v/>
      </c>
      <c r="H30" s="102" t="str">
        <f t="shared" si="24"/>
        <v/>
      </c>
      <c r="I30" s="102" t="str">
        <f t="shared" si="24"/>
        <v/>
      </c>
      <c r="K30" s="129"/>
      <c r="L30" s="102" t="str">
        <f t="shared" ref="L30:P39" si="25">IF(OR(L6="",K6="",K6=0),"",L6/ABS(K6)-1)</f>
        <v/>
      </c>
      <c r="M30" s="102" t="str">
        <f t="shared" si="25"/>
        <v/>
      </c>
      <c r="N30" s="102" t="str">
        <f t="shared" si="25"/>
        <v/>
      </c>
      <c r="O30" s="102" t="str">
        <f t="shared" si="25"/>
        <v/>
      </c>
      <c r="P30" s="102" t="str">
        <f t="shared" si="25"/>
        <v/>
      </c>
    </row>
    <row r="31" spans="3:32" ht="15" customHeight="1">
      <c r="C31" s="100" t="s">
        <v>386</v>
      </c>
      <c r="E31" s="102" t="str">
        <f t="shared" si="24"/>
        <v/>
      </c>
      <c r="F31" s="102" t="str">
        <f t="shared" si="24"/>
        <v/>
      </c>
      <c r="G31" s="102" t="str">
        <f t="shared" si="24"/>
        <v/>
      </c>
      <c r="H31" s="102" t="str">
        <f t="shared" si="24"/>
        <v/>
      </c>
      <c r="I31" s="102" t="str">
        <f t="shared" si="24"/>
        <v/>
      </c>
      <c r="L31" s="102" t="str">
        <f t="shared" si="25"/>
        <v/>
      </c>
      <c r="M31" s="102" t="str">
        <f t="shared" si="25"/>
        <v/>
      </c>
      <c r="N31" s="102" t="str">
        <f t="shared" si="25"/>
        <v/>
      </c>
      <c r="O31" s="102" t="str">
        <f t="shared" si="25"/>
        <v/>
      </c>
      <c r="P31" s="102" t="str">
        <f t="shared" si="25"/>
        <v/>
      </c>
    </row>
    <row r="32" spans="3:32" ht="15" customHeight="1">
      <c r="C32" s="100" t="s">
        <v>388</v>
      </c>
      <c r="E32" s="102" t="str">
        <f t="shared" si="24"/>
        <v/>
      </c>
      <c r="F32" s="102" t="str">
        <f t="shared" si="24"/>
        <v/>
      </c>
      <c r="G32" s="102" t="str">
        <f t="shared" si="24"/>
        <v/>
      </c>
      <c r="H32" s="102" t="str">
        <f t="shared" si="24"/>
        <v/>
      </c>
      <c r="I32" s="102" t="str">
        <f t="shared" si="24"/>
        <v/>
      </c>
      <c r="L32" s="102" t="str">
        <f t="shared" si="25"/>
        <v/>
      </c>
      <c r="M32" s="102" t="str">
        <f t="shared" si="25"/>
        <v/>
      </c>
      <c r="N32" s="102" t="str">
        <f t="shared" si="25"/>
        <v/>
      </c>
      <c r="O32" s="102" t="str">
        <f t="shared" si="25"/>
        <v/>
      </c>
      <c r="P32" s="102" t="str">
        <f t="shared" si="25"/>
        <v/>
      </c>
    </row>
    <row r="33" spans="3:18" ht="15" customHeight="1">
      <c r="C33" s="100" t="s">
        <v>389</v>
      </c>
      <c r="E33" s="102" t="str">
        <f t="shared" si="24"/>
        <v/>
      </c>
      <c r="F33" s="102" t="str">
        <f t="shared" si="24"/>
        <v/>
      </c>
      <c r="G33" s="102" t="str">
        <f t="shared" si="24"/>
        <v/>
      </c>
      <c r="H33" s="102" t="str">
        <f t="shared" si="24"/>
        <v/>
      </c>
      <c r="I33" s="102" t="str">
        <f t="shared" si="24"/>
        <v/>
      </c>
      <c r="L33" s="102" t="str">
        <f t="shared" si="25"/>
        <v/>
      </c>
      <c r="M33" s="102" t="str">
        <f t="shared" si="25"/>
        <v/>
      </c>
      <c r="N33" s="102" t="str">
        <f t="shared" si="25"/>
        <v/>
      </c>
      <c r="O33" s="102" t="str">
        <f t="shared" si="25"/>
        <v/>
      </c>
      <c r="P33" s="102" t="str">
        <f t="shared" si="25"/>
        <v/>
      </c>
    </row>
    <row r="34" spans="3:18" ht="15" customHeight="1">
      <c r="C34" s="100" t="s">
        <v>391</v>
      </c>
      <c r="E34" s="102" t="str">
        <f t="shared" si="24"/>
        <v/>
      </c>
      <c r="F34" s="102" t="str">
        <f t="shared" si="24"/>
        <v/>
      </c>
      <c r="G34" s="102" t="str">
        <f t="shared" si="24"/>
        <v/>
      </c>
      <c r="H34" s="102" t="str">
        <f t="shared" si="24"/>
        <v/>
      </c>
      <c r="I34" s="102" t="str">
        <f t="shared" si="24"/>
        <v/>
      </c>
      <c r="L34" s="102" t="str">
        <f t="shared" si="25"/>
        <v/>
      </c>
      <c r="M34" s="102" t="str">
        <f t="shared" si="25"/>
        <v/>
      </c>
      <c r="N34" s="102" t="str">
        <f t="shared" si="25"/>
        <v/>
      </c>
      <c r="O34" s="102" t="str">
        <f t="shared" si="25"/>
        <v/>
      </c>
      <c r="P34" s="102" t="str">
        <f t="shared" si="25"/>
        <v/>
      </c>
    </row>
    <row r="35" spans="3:18" ht="15" customHeight="1">
      <c r="C35" s="100" t="s">
        <v>392</v>
      </c>
      <c r="E35" s="102" t="str">
        <f t="shared" si="24"/>
        <v/>
      </c>
      <c r="F35" s="102" t="str">
        <f t="shared" si="24"/>
        <v/>
      </c>
      <c r="G35" s="102" t="str">
        <f t="shared" si="24"/>
        <v/>
      </c>
      <c r="H35" s="102" t="str">
        <f t="shared" si="24"/>
        <v/>
      </c>
      <c r="I35" s="102" t="str">
        <f t="shared" si="24"/>
        <v/>
      </c>
      <c r="L35" s="102" t="str">
        <f t="shared" si="25"/>
        <v/>
      </c>
      <c r="M35" s="102" t="str">
        <f t="shared" si="25"/>
        <v/>
      </c>
      <c r="N35" s="102" t="str">
        <f t="shared" si="25"/>
        <v/>
      </c>
      <c r="O35" s="102" t="str">
        <f t="shared" si="25"/>
        <v/>
      </c>
      <c r="P35" s="102" t="str">
        <f t="shared" si="25"/>
        <v/>
      </c>
    </row>
    <row r="36" spans="3:18" ht="15" customHeight="1">
      <c r="C36" s="100" t="s">
        <v>393</v>
      </c>
      <c r="E36" s="102" t="str">
        <f t="shared" si="24"/>
        <v/>
      </c>
      <c r="F36" s="102" t="str">
        <f t="shared" si="24"/>
        <v/>
      </c>
      <c r="G36" s="102" t="str">
        <f t="shared" si="24"/>
        <v/>
      </c>
      <c r="H36" s="102" t="str">
        <f t="shared" si="24"/>
        <v/>
      </c>
      <c r="I36" s="102" t="str">
        <f t="shared" si="24"/>
        <v/>
      </c>
      <c r="L36" s="102" t="str">
        <f t="shared" si="25"/>
        <v/>
      </c>
      <c r="M36" s="102" t="str">
        <f t="shared" si="25"/>
        <v/>
      </c>
      <c r="N36" s="102" t="str">
        <f t="shared" si="25"/>
        <v/>
      </c>
      <c r="O36" s="102" t="str">
        <f t="shared" si="25"/>
        <v/>
      </c>
      <c r="P36" s="102" t="str">
        <f t="shared" si="25"/>
        <v/>
      </c>
    </row>
    <row r="37" spans="3:18" ht="15" customHeight="1">
      <c r="C37" s="100" t="s">
        <v>394</v>
      </c>
      <c r="E37" s="102" t="str">
        <f t="shared" si="24"/>
        <v/>
      </c>
      <c r="F37" s="102" t="str">
        <f t="shared" si="24"/>
        <v/>
      </c>
      <c r="G37" s="102" t="str">
        <f t="shared" si="24"/>
        <v/>
      </c>
      <c r="H37" s="102" t="str">
        <f t="shared" si="24"/>
        <v/>
      </c>
      <c r="I37" s="102" t="str">
        <f t="shared" si="24"/>
        <v/>
      </c>
      <c r="L37" s="102" t="str">
        <f t="shared" si="25"/>
        <v/>
      </c>
      <c r="M37" s="102" t="str">
        <f t="shared" si="25"/>
        <v/>
      </c>
      <c r="N37" s="102" t="str">
        <f t="shared" si="25"/>
        <v/>
      </c>
      <c r="O37" s="102" t="str">
        <f t="shared" si="25"/>
        <v/>
      </c>
      <c r="P37" s="102" t="str">
        <f t="shared" si="25"/>
        <v/>
      </c>
    </row>
    <row r="38" spans="3:18" ht="15.75">
      <c r="C38" s="100" t="s">
        <v>415</v>
      </c>
      <c r="E38" s="102" t="str">
        <f t="shared" si="24"/>
        <v/>
      </c>
      <c r="F38" s="102" t="str">
        <f t="shared" si="24"/>
        <v/>
      </c>
      <c r="G38" s="102" t="str">
        <f t="shared" si="24"/>
        <v/>
      </c>
      <c r="H38" s="102" t="str">
        <f t="shared" si="24"/>
        <v/>
      </c>
      <c r="I38" s="102" t="str">
        <f t="shared" si="24"/>
        <v/>
      </c>
      <c r="L38" s="102" t="str">
        <f t="shared" si="25"/>
        <v/>
      </c>
      <c r="M38" s="102" t="str">
        <f t="shared" si="25"/>
        <v/>
      </c>
      <c r="N38" s="102" t="str">
        <f t="shared" si="25"/>
        <v/>
      </c>
      <c r="O38" s="102" t="str">
        <f t="shared" si="25"/>
        <v/>
      </c>
      <c r="P38" s="102" t="str">
        <f t="shared" si="25"/>
        <v/>
      </c>
    </row>
    <row r="39" spans="3:18" ht="15" customHeight="1">
      <c r="C39" s="100" t="s">
        <v>397</v>
      </c>
      <c r="E39" s="102" t="str">
        <f t="shared" si="24"/>
        <v/>
      </c>
      <c r="F39" s="102" t="str">
        <f t="shared" si="24"/>
        <v/>
      </c>
      <c r="G39" s="102" t="str">
        <f t="shared" si="24"/>
        <v/>
      </c>
      <c r="H39" s="102" t="str">
        <f t="shared" si="24"/>
        <v/>
      </c>
      <c r="I39" s="102" t="str">
        <f t="shared" si="24"/>
        <v/>
      </c>
      <c r="L39" s="102" t="str">
        <f t="shared" si="25"/>
        <v/>
      </c>
      <c r="M39" s="102" t="str">
        <f t="shared" si="25"/>
        <v/>
      </c>
      <c r="N39" s="102" t="str">
        <f t="shared" si="25"/>
        <v/>
      </c>
      <c r="O39" s="102" t="str">
        <f t="shared" si="25"/>
        <v/>
      </c>
      <c r="P39" s="102" t="str">
        <f t="shared" si="25"/>
        <v/>
      </c>
    </row>
    <row r="40" spans="3:18" ht="15" customHeight="1">
      <c r="C40" s="100" t="s">
        <v>416</v>
      </c>
      <c r="E40" s="102" t="str">
        <f t="shared" ref="E40:I45" si="26">IF(OR(E16="",D16="",D16=0),"",E16/ABS(D16)-1)</f>
        <v/>
      </c>
      <c r="F40" s="102" t="str">
        <f t="shared" si="26"/>
        <v/>
      </c>
      <c r="G40" s="102" t="str">
        <f t="shared" si="26"/>
        <v/>
      </c>
      <c r="H40" s="102" t="str">
        <f t="shared" si="26"/>
        <v/>
      </c>
      <c r="I40" s="102" t="str">
        <f t="shared" si="26"/>
        <v/>
      </c>
      <c r="L40" s="102" t="str">
        <f t="shared" ref="L40:P45" si="27">IF(OR(L16="",K16="",K16=0),"",L16/ABS(K16)-1)</f>
        <v/>
      </c>
      <c r="M40" s="102" t="str">
        <f t="shared" si="27"/>
        <v/>
      </c>
      <c r="N40" s="102" t="str">
        <f t="shared" si="27"/>
        <v/>
      </c>
      <c r="O40" s="102" t="str">
        <f t="shared" si="27"/>
        <v/>
      </c>
      <c r="P40" s="102" t="str">
        <f t="shared" si="27"/>
        <v/>
      </c>
    </row>
    <row r="41" spans="3:18" ht="15" customHeight="1">
      <c r="C41" s="100" t="s">
        <v>400</v>
      </c>
      <c r="E41" s="102" t="str">
        <f t="shared" si="26"/>
        <v/>
      </c>
      <c r="F41" s="102" t="str">
        <f t="shared" si="26"/>
        <v/>
      </c>
      <c r="G41" s="102" t="str">
        <f t="shared" si="26"/>
        <v/>
      </c>
      <c r="H41" s="102" t="str">
        <f t="shared" si="26"/>
        <v/>
      </c>
      <c r="I41" s="102" t="str">
        <f t="shared" si="26"/>
        <v/>
      </c>
      <c r="L41" s="102" t="str">
        <f t="shared" si="27"/>
        <v/>
      </c>
      <c r="M41" s="102" t="str">
        <f t="shared" si="27"/>
        <v/>
      </c>
      <c r="N41" s="102" t="str">
        <f t="shared" si="27"/>
        <v/>
      </c>
      <c r="O41" s="102" t="str">
        <f t="shared" si="27"/>
        <v/>
      </c>
      <c r="P41" s="102" t="str">
        <f t="shared" si="27"/>
        <v/>
      </c>
    </row>
    <row r="42" spans="3:18" ht="15" customHeight="1">
      <c r="C42" s="100" t="s">
        <v>402</v>
      </c>
      <c r="E42" s="102" t="str">
        <f t="shared" si="26"/>
        <v/>
      </c>
      <c r="F42" s="102" t="str">
        <f t="shared" si="26"/>
        <v/>
      </c>
      <c r="G42" s="102" t="str">
        <f t="shared" si="26"/>
        <v/>
      </c>
      <c r="H42" s="102" t="str">
        <f t="shared" si="26"/>
        <v/>
      </c>
      <c r="I42" s="102" t="str">
        <f t="shared" si="26"/>
        <v/>
      </c>
      <c r="L42" s="102" t="str">
        <f t="shared" si="27"/>
        <v/>
      </c>
      <c r="M42" s="102" t="str">
        <f t="shared" si="27"/>
        <v/>
      </c>
      <c r="N42" s="102" t="str">
        <f t="shared" si="27"/>
        <v/>
      </c>
      <c r="O42" s="102" t="str">
        <f t="shared" si="27"/>
        <v/>
      </c>
      <c r="P42" s="102" t="str">
        <f t="shared" si="27"/>
        <v/>
      </c>
    </row>
    <row r="43" spans="3:18" ht="15.75">
      <c r="C43" s="100" t="s">
        <v>417</v>
      </c>
      <c r="E43" s="102" t="str">
        <f t="shared" si="26"/>
        <v/>
      </c>
      <c r="F43" s="102" t="str">
        <f t="shared" si="26"/>
        <v/>
      </c>
      <c r="G43" s="102" t="str">
        <f t="shared" si="26"/>
        <v/>
      </c>
      <c r="H43" s="102" t="str">
        <f t="shared" si="26"/>
        <v/>
      </c>
      <c r="I43" s="102" t="str">
        <f t="shared" si="26"/>
        <v/>
      </c>
      <c r="L43" s="102" t="str">
        <f t="shared" si="27"/>
        <v/>
      </c>
      <c r="M43" s="102" t="str">
        <f t="shared" si="27"/>
        <v/>
      </c>
      <c r="N43" s="102" t="str">
        <f t="shared" si="27"/>
        <v/>
      </c>
      <c r="O43" s="102" t="str">
        <f t="shared" si="27"/>
        <v/>
      </c>
      <c r="P43" s="102" t="str">
        <f t="shared" si="27"/>
        <v/>
      </c>
    </row>
    <row r="44" spans="3:18" ht="15" customHeight="1">
      <c r="C44" s="100" t="s">
        <v>404</v>
      </c>
      <c r="E44" s="102" t="str">
        <f t="shared" si="26"/>
        <v/>
      </c>
      <c r="F44" s="102" t="str">
        <f t="shared" si="26"/>
        <v/>
      </c>
      <c r="G44" s="102" t="str">
        <f t="shared" si="26"/>
        <v/>
      </c>
      <c r="H44" s="102" t="str">
        <f t="shared" si="26"/>
        <v/>
      </c>
      <c r="I44" s="102" t="str">
        <f t="shared" si="26"/>
        <v/>
      </c>
      <c r="L44" s="102" t="str">
        <f t="shared" si="27"/>
        <v/>
      </c>
      <c r="M44" s="102" t="str">
        <f t="shared" si="27"/>
        <v/>
      </c>
      <c r="N44" s="102" t="str">
        <f t="shared" si="27"/>
        <v/>
      </c>
      <c r="O44" s="102" t="str">
        <f t="shared" si="27"/>
        <v/>
      </c>
      <c r="P44" s="102" t="str">
        <f t="shared" si="27"/>
        <v/>
      </c>
    </row>
    <row r="45" spans="3:18" ht="15" customHeight="1">
      <c r="C45" s="100" t="s">
        <v>406</v>
      </c>
      <c r="E45" s="102" t="str">
        <f t="shared" si="26"/>
        <v/>
      </c>
      <c r="F45" s="102" t="str">
        <f t="shared" si="26"/>
        <v/>
      </c>
      <c r="G45" s="102" t="str">
        <f t="shared" si="26"/>
        <v/>
      </c>
      <c r="H45" s="102" t="str">
        <f t="shared" si="26"/>
        <v/>
      </c>
      <c r="I45" s="102" t="str">
        <f t="shared" si="26"/>
        <v/>
      </c>
      <c r="L45" s="102" t="str">
        <f t="shared" si="27"/>
        <v/>
      </c>
      <c r="M45" s="102" t="str">
        <f t="shared" si="27"/>
        <v/>
      </c>
      <c r="N45" s="102" t="str">
        <f t="shared" si="27"/>
        <v/>
      </c>
      <c r="O45" s="102" t="str">
        <f t="shared" si="27"/>
        <v/>
      </c>
      <c r="P45" s="102" t="str">
        <f t="shared" si="27"/>
        <v/>
      </c>
    </row>
    <row r="46" spans="3:18" ht="15" customHeight="1">
      <c r="C46" s="100" t="s">
        <v>418</v>
      </c>
      <c r="E46" s="102" t="str">
        <f t="shared" ref="E46:I47" si="28">IF(OR(E23="",D23="",D23=0),"",E23/ABS(D23)-1)</f>
        <v/>
      </c>
      <c r="F46" s="102" t="str">
        <f t="shared" si="28"/>
        <v/>
      </c>
      <c r="G46" s="102" t="str">
        <f t="shared" si="28"/>
        <v/>
      </c>
      <c r="H46" s="102" t="str">
        <f t="shared" si="28"/>
        <v/>
      </c>
      <c r="I46" s="102" t="str">
        <f t="shared" si="28"/>
        <v/>
      </c>
      <c r="L46" s="102" t="str">
        <f t="shared" ref="L46:P47" si="29">IF(OR(L23="",K23="",K23=0),"",L23/ABS(K23)-1)</f>
        <v/>
      </c>
      <c r="M46" s="102" t="str">
        <f t="shared" si="29"/>
        <v/>
      </c>
      <c r="N46" s="102" t="str">
        <f t="shared" si="29"/>
        <v/>
      </c>
      <c r="O46" s="102" t="str">
        <f t="shared" si="29"/>
        <v/>
      </c>
      <c r="P46" s="102" t="str">
        <f t="shared" si="29"/>
        <v/>
      </c>
    </row>
    <row r="47" spans="3:18" ht="15.75">
      <c r="C47" s="100" t="s">
        <v>420</v>
      </c>
      <c r="E47" s="102" t="str">
        <f t="shared" si="28"/>
        <v/>
      </c>
      <c r="F47" s="102" t="str">
        <f t="shared" si="28"/>
        <v/>
      </c>
      <c r="G47" s="102" t="str">
        <f t="shared" si="28"/>
        <v/>
      </c>
      <c r="H47" s="102" t="str">
        <f t="shared" si="28"/>
        <v/>
      </c>
      <c r="I47" s="102" t="str">
        <f t="shared" si="28"/>
        <v/>
      </c>
      <c r="L47" s="102" t="str">
        <f t="shared" si="29"/>
        <v/>
      </c>
      <c r="M47" s="102" t="str">
        <f t="shared" si="29"/>
        <v/>
      </c>
      <c r="N47" s="102" t="str">
        <f t="shared" si="29"/>
        <v/>
      </c>
      <c r="O47" s="102" t="str">
        <f t="shared" si="29"/>
        <v/>
      </c>
      <c r="P47" s="102" t="str">
        <f t="shared" si="29"/>
        <v/>
      </c>
    </row>
    <row r="48" spans="3:18">
      <c r="R48" s="109" t="s">
        <v>419</v>
      </c>
    </row>
    <row r="49" spans="3:18" ht="19.5" customHeight="1">
      <c r="C49" s="130" t="s">
        <v>421</v>
      </c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</row>
    <row r="50" spans="3:18" ht="15" customHeight="1">
      <c r="D50" s="140" t="s">
        <v>381</v>
      </c>
      <c r="E50" s="140"/>
      <c r="F50" s="140"/>
      <c r="G50" s="140"/>
      <c r="H50" s="140"/>
      <c r="I50" s="140"/>
      <c r="K50" s="140" t="s">
        <v>382</v>
      </c>
      <c r="L50" s="140"/>
      <c r="M50" s="140"/>
      <c r="N50" s="140"/>
      <c r="O50" s="140"/>
      <c r="P50" s="140"/>
    </row>
    <row r="51" spans="3:18" ht="14.25" customHeight="1">
      <c r="C51" s="110" t="s">
        <v>24</v>
      </c>
      <c r="D51" s="111" t="s">
        <v>242</v>
      </c>
      <c r="E51" s="111" t="s">
        <v>243</v>
      </c>
      <c r="F51" s="111" t="s">
        <v>244</v>
      </c>
      <c r="G51" s="111" t="s">
        <v>245</v>
      </c>
      <c r="H51" s="111" t="s">
        <v>246</v>
      </c>
      <c r="I51" s="111" t="s">
        <v>247</v>
      </c>
      <c r="K51" s="111" t="s">
        <v>242</v>
      </c>
      <c r="L51" s="111" t="s">
        <v>243</v>
      </c>
      <c r="M51" s="111" t="s">
        <v>244</v>
      </c>
      <c r="N51" s="111" t="s">
        <v>245</v>
      </c>
      <c r="O51" s="111" t="s">
        <v>246</v>
      </c>
      <c r="P51" s="111" t="s">
        <v>247</v>
      </c>
    </row>
    <row r="52" spans="3:18" ht="15" customHeight="1">
      <c r="C52" s="108" t="s">
        <v>422</v>
      </c>
      <c r="D52" s="112" t="str">
        <f>IF('2-3_PBR_비교'!D13="","",'2-3_PBR_비교'!D13)</f>
        <v/>
      </c>
      <c r="E52" s="112" t="str">
        <f>IF('2-3_PBR_비교'!E13="","",'2-3_PBR_비교'!E13)</f>
        <v/>
      </c>
      <c r="F52" s="112" t="str">
        <f>IF('2-3_PBR_비교'!F13="","",'2-3_PBR_비교'!F13)</f>
        <v/>
      </c>
      <c r="G52" s="112" t="str">
        <f>IF('2-3_PBR_비교'!G13="","",'2-3_PBR_비교'!G13)</f>
        <v/>
      </c>
      <c r="H52" s="112" t="str">
        <f>IF('2-3_PBR_비교'!H13="","",'2-3_PBR_비교'!H13)</f>
        <v/>
      </c>
      <c r="I52" s="112" t="str">
        <f>IF('2-3_PBR_비교'!I13="","",'2-3_PBR_비교'!I13)</f>
        <v/>
      </c>
      <c r="K52" s="112" t="str">
        <f>IF('2-3_PBR_비교'!K13="","",'2-3_PBR_비교'!K13)</f>
        <v/>
      </c>
      <c r="L52" s="112" t="str">
        <f>IF('2-3_PBR_비교'!L13="","",'2-3_PBR_비교'!L13)</f>
        <v/>
      </c>
      <c r="M52" s="112" t="str">
        <f>IF('2-3_PBR_비교'!M13="","",'2-3_PBR_비교'!M13)</f>
        <v/>
      </c>
      <c r="N52" s="112" t="str">
        <f>IF('2-3_PBR_비교'!N13="","",'2-3_PBR_비교'!N13)</f>
        <v/>
      </c>
      <c r="O52" s="112" t="str">
        <f>IF('2-3_PBR_비교'!O13="","",'2-3_PBR_비교'!O13)</f>
        <v/>
      </c>
      <c r="P52" s="112" t="str">
        <f>IF('2-3_PBR_비교'!P13="","",'2-3_PBR_비교'!P13)</f>
        <v/>
      </c>
    </row>
    <row r="53" spans="3:18" ht="15" customHeight="1">
      <c r="C53" s="100" t="s">
        <v>423</v>
      </c>
      <c r="D53" s="113">
        <f t="shared" ref="D53:I53" si="30">D21</f>
        <v>0</v>
      </c>
      <c r="E53" s="113">
        <f t="shared" si="30"/>
        <v>0</v>
      </c>
      <c r="F53" s="113">
        <f t="shared" si="30"/>
        <v>0</v>
      </c>
      <c r="G53" s="113">
        <f t="shared" si="30"/>
        <v>0</v>
      </c>
      <c r="H53" s="113">
        <f t="shared" si="30"/>
        <v>0</v>
      </c>
      <c r="I53" s="113">
        <f t="shared" si="30"/>
        <v>0</v>
      </c>
      <c r="K53" s="113">
        <f t="shared" ref="K53:P53" si="31">K21</f>
        <v>0</v>
      </c>
      <c r="L53" s="113">
        <f t="shared" si="31"/>
        <v>0</v>
      </c>
      <c r="M53" s="113">
        <f t="shared" si="31"/>
        <v>0</v>
      </c>
      <c r="N53" s="113">
        <f t="shared" si="31"/>
        <v>0</v>
      </c>
      <c r="O53" s="113">
        <f t="shared" si="31"/>
        <v>0</v>
      </c>
      <c r="P53" s="113">
        <f t="shared" si="31"/>
        <v>0</v>
      </c>
    </row>
    <row r="54" spans="3:18" ht="15" customHeight="1">
      <c r="C54" s="100" t="s">
        <v>424</v>
      </c>
      <c r="D54" s="112" t="str">
        <f>IF('2-3_PBR_비교'!D12="","",'2-3_PBR_비교'!D12)</f>
        <v/>
      </c>
      <c r="E54" s="112" t="str">
        <f>IF('2-3_PBR_비교'!E12="","",'2-3_PBR_비교'!E12)</f>
        <v/>
      </c>
      <c r="F54" s="112" t="str">
        <f>IF('2-3_PBR_비교'!F12="","",'2-3_PBR_비교'!F12)</f>
        <v/>
      </c>
      <c r="G54" s="112" t="str">
        <f>IF('2-3_PBR_비교'!G12="","",'2-3_PBR_비교'!G12)</f>
        <v/>
      </c>
      <c r="H54" s="112" t="str">
        <f>IF('2-3_PBR_비교'!H12="","",'2-3_PBR_비교'!H12)</f>
        <v/>
      </c>
      <c r="I54" s="112" t="str">
        <f>IF('2-3_PBR_비교'!I12="","",'2-3_PBR_비교'!I12)</f>
        <v/>
      </c>
      <c r="K54" s="112" t="str">
        <f>IF('2-3_PBR_비교'!K12="","",'2-3_PBR_비교'!K12)</f>
        <v/>
      </c>
      <c r="L54" s="112" t="str">
        <f>IF('2-3_PBR_비교'!L12="","",'2-3_PBR_비교'!L12)</f>
        <v/>
      </c>
      <c r="M54" s="112" t="str">
        <f>IF('2-3_PBR_비교'!M12="","",'2-3_PBR_비교'!M12)</f>
        <v/>
      </c>
      <c r="N54" s="112" t="str">
        <f>IF('2-3_PBR_비교'!N12="","",'2-3_PBR_비교'!N12)</f>
        <v/>
      </c>
      <c r="O54" s="112" t="str">
        <f>IF('2-3_PBR_비교'!O12="","",'2-3_PBR_비교'!O12)</f>
        <v/>
      </c>
      <c r="P54" s="112" t="str">
        <f>IF('2-3_PBR_비교'!P12="","",'2-3_PBR_비교'!P12)</f>
        <v/>
      </c>
    </row>
    <row r="55" spans="3:18" ht="30" customHeight="1">
      <c r="C55" s="100" t="s">
        <v>425</v>
      </c>
      <c r="D55" s="114" t="str">
        <f>IF(OR(D54="",D54=0),"",D53*1000/D54)</f>
        <v/>
      </c>
      <c r="E55" s="114" t="str">
        <f t="shared" ref="E55:I55" si="32">IF(OR(E54="",E54=0),"",E53*1000/E54)</f>
        <v/>
      </c>
      <c r="F55" s="114" t="str">
        <f t="shared" si="32"/>
        <v/>
      </c>
      <c r="G55" s="114" t="str">
        <f t="shared" si="32"/>
        <v/>
      </c>
      <c r="H55" s="114" t="str">
        <f t="shared" si="32"/>
        <v/>
      </c>
      <c r="I55" s="114" t="str">
        <f t="shared" si="32"/>
        <v/>
      </c>
      <c r="K55" s="114" t="str">
        <f t="shared" ref="K55:P55" si="33">IF(OR(K54="",K54=0),"",K53*1000/K54)</f>
        <v/>
      </c>
      <c r="L55" s="114" t="str">
        <f t="shared" si="33"/>
        <v/>
      </c>
      <c r="M55" s="114" t="str">
        <f t="shared" si="33"/>
        <v/>
      </c>
      <c r="N55" s="114" t="str">
        <f t="shared" si="33"/>
        <v/>
      </c>
      <c r="O55" s="114" t="str">
        <f t="shared" si="33"/>
        <v/>
      </c>
      <c r="P55" s="114" t="str">
        <f t="shared" si="33"/>
        <v/>
      </c>
    </row>
    <row r="56" spans="3:18" ht="22.5" customHeight="1">
      <c r="C56" s="103" t="s">
        <v>426</v>
      </c>
      <c r="D56" s="115" t="str">
        <f t="shared" ref="D56:I56" si="34">IF(OR(D52="",D55="",D55&lt;=0),IF(AND(D52&lt;&gt;"",D55&lt;&gt;""),"n/a (적자)",""),D52/D55)</f>
        <v/>
      </c>
      <c r="E56" s="115" t="str">
        <f>IF(OR(E52="",E55="",E55&lt;=0),IF(AND(E52&lt;&gt;"",E55&lt;&gt;""),"n/a (적자)",""),E52/E55)</f>
        <v/>
      </c>
      <c r="F56" s="115" t="str">
        <f>IF(OR(F52="",F55="",F55&lt;=0),IF(AND(F52&lt;&gt;"",F55&lt;&gt;""),"n/a (적자)",""),F52/F55)</f>
        <v/>
      </c>
      <c r="G56" s="115" t="str">
        <f>IF(OR(G52="",G55="",G55&lt;=0),IF(AND(G52&lt;&gt;"",G55&lt;&gt;""),"n/a (적자)",""),G52/G55)</f>
        <v/>
      </c>
      <c r="H56" s="115" t="str">
        <f t="shared" si="34"/>
        <v/>
      </c>
      <c r="I56" s="115" t="str">
        <f t="shared" si="34"/>
        <v/>
      </c>
      <c r="K56" s="115" t="str">
        <f t="shared" ref="K56:P56" si="35">IF(OR(K52="",K55="",K55&lt;=0),IF(AND(K52&lt;&gt;"",K55&lt;&gt;""),"n/a (적자)",""),K52/K55)</f>
        <v/>
      </c>
      <c r="L56" s="115" t="str">
        <f t="shared" si="35"/>
        <v/>
      </c>
      <c r="M56" s="115" t="str">
        <f t="shared" si="35"/>
        <v/>
      </c>
      <c r="N56" s="115" t="str">
        <f t="shared" si="35"/>
        <v/>
      </c>
      <c r="O56" s="115" t="str">
        <f t="shared" si="35"/>
        <v/>
      </c>
      <c r="P56" s="115" t="str">
        <f t="shared" si="35"/>
        <v/>
      </c>
      <c r="R56" s="116" t="s">
        <v>427</v>
      </c>
    </row>
    <row r="57" spans="3:18" ht="30" customHeight="1">
      <c r="C57" s="100" t="s">
        <v>428</v>
      </c>
      <c r="D57" s="117" t="str">
        <f>IF(OR('2-3_PBR_비교'!D14="",D6=0),"",'2-3_PBR_비교'!D14/D6)</f>
        <v/>
      </c>
      <c r="E57" s="117" t="str">
        <f>IF(OR('2-3_PBR_비교'!E14="",E6=0),"",'2-3_PBR_비교'!E14/E6)</f>
        <v/>
      </c>
      <c r="F57" s="117" t="str">
        <f>IF(OR('2-3_PBR_비교'!F14="",F6=0),"",'2-3_PBR_비교'!F14/F6)</f>
        <v/>
      </c>
      <c r="G57" s="117" t="str">
        <f>IF(OR('2-3_PBR_비교'!G14="",G6=0),"",'2-3_PBR_비교'!G14/G6)</f>
        <v/>
      </c>
      <c r="H57" s="117" t="str">
        <f>IF(OR('2-3_PBR_비교'!H14="",H6=0),"",'2-3_PBR_비교'!H14/H6)</f>
        <v/>
      </c>
      <c r="I57" s="117" t="str">
        <f>IF(OR('2-3_PBR_비교'!I14="",I6=0),"",'2-3_PBR_비교'!I14/I6)</f>
        <v/>
      </c>
      <c r="K57" s="117" t="str">
        <f>IF(OR('2-3_PBR_비교'!K14="",K6=0),"",'2-3_PBR_비교'!K14/K6)</f>
        <v/>
      </c>
      <c r="L57" s="117" t="str">
        <f>IF(OR('2-3_PBR_비교'!L14="",L6=0),"",'2-3_PBR_비교'!L14/L6)</f>
        <v/>
      </c>
      <c r="M57" s="117" t="str">
        <f>IF(OR('2-3_PBR_비교'!M14="",M6=0),"",'2-3_PBR_비교'!M14/M6)</f>
        <v/>
      </c>
      <c r="N57" s="117" t="str">
        <f>IF(OR('2-3_PBR_비교'!N14="",N6=0),"",'2-3_PBR_비교'!N14/N6)</f>
        <v/>
      </c>
      <c r="O57" s="117" t="str">
        <f>IF(OR('2-3_PBR_비교'!O14="",O6=0),"",'2-3_PBR_비교'!O14/O6)</f>
        <v/>
      </c>
      <c r="P57" s="117" t="str">
        <f>IF(OR('2-3_PBR_비교'!P14="",P6=0),"",'2-3_PBR_비교'!P14/P6)</f>
        <v/>
      </c>
    </row>
    <row r="58" spans="3:18" ht="30" customHeight="1">
      <c r="C58" s="108" t="s">
        <v>429</v>
      </c>
      <c r="D58" s="118" t="s">
        <v>430</v>
      </c>
      <c r="E58" s="118" t="s">
        <v>451</v>
      </c>
      <c r="F58" s="117" t="str">
        <f>IF(OR(F52="",F55="",E55="",D55=""),"",IF(AVERAGE(D55:F55)&lt;=0,"n/a",F52/AVERAGE(D55:F55)))</f>
        <v/>
      </c>
      <c r="G58" s="117" t="str">
        <f>IF(OR(G52="",G55="",F55="",E55=""),"",IF(AVERAGE(E55:G55)&lt;=0,"n/a",G52/AVERAGE(E55:G55)))</f>
        <v/>
      </c>
      <c r="H58" s="117" t="str">
        <f>IF(OR(H52="",H55="",G55="",F55=""),"",IF(AVERAGE(F55:H55)&lt;=0,"n/a",H52/AVERAGE(F55:H55)))</f>
        <v/>
      </c>
      <c r="I58" s="117" t="str">
        <f>IF(OR(I52="",I55="",H55="",G55=""),"",IF(AVERAGE(G55:I55)&lt;=0,"n/a",I52/AVERAGE(G55:I55)))</f>
        <v/>
      </c>
      <c r="K58" s="118" t="s">
        <v>430</v>
      </c>
      <c r="L58" s="118" t="s">
        <v>430</v>
      </c>
      <c r="M58" s="117" t="str">
        <f>IF(OR(M52="",M55="",L55="",K55=""),"",IF(AVERAGE(K55:M55)&lt;=0,"n/a",M52/AVERAGE(K55:M55)))</f>
        <v/>
      </c>
      <c r="N58" s="117" t="str">
        <f>IF(OR(N52="",N55="",M55="",L55=""),"",IF(AVERAGE(L55:N55)&lt;=0,"n/a",N52/AVERAGE(L55:N55)))</f>
        <v/>
      </c>
      <c r="O58" s="117" t="str">
        <f>IF(OR(O52="",O55="",N55="",M55=""),"",IF(AVERAGE(M55:O55)&lt;=0,"n/a",O52/AVERAGE(M55:O55)))</f>
        <v/>
      </c>
      <c r="P58" s="117" t="str">
        <f>IF(OR(P52="",P55="",O55="",N55=""),"",IF(AVERAGE(N55:P55)&lt;=0,"n/a",P52/AVERAGE(N55:P55)))</f>
        <v/>
      </c>
    </row>
    <row r="61" spans="3:18" ht="19.5" customHeight="1">
      <c r="C61" s="130" t="s">
        <v>431</v>
      </c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</row>
    <row r="62" spans="3:18" ht="43.5" customHeight="1">
      <c r="C62" s="103" t="s">
        <v>432</v>
      </c>
      <c r="D62" s="137" t="s">
        <v>433</v>
      </c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</row>
    <row r="63" spans="3:18" ht="15" customHeight="1">
      <c r="C63" s="103" t="s">
        <v>434</v>
      </c>
      <c r="D63" s="136" t="s">
        <v>435</v>
      </c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</row>
    <row r="64" spans="3:18" ht="30" customHeight="1">
      <c r="C64" s="103" t="s">
        <v>436</v>
      </c>
      <c r="D64" s="134" t="s">
        <v>437</v>
      </c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</row>
    <row r="65" spans="3:16" ht="104.25" customHeight="1">
      <c r="C65" s="100" t="s">
        <v>438</v>
      </c>
      <c r="D65" s="132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</row>
    <row r="66" spans="3:16" ht="21.75" customHeight="1"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</row>
    <row r="67" spans="3:16" ht="30" customHeight="1">
      <c r="C67" s="103" t="s">
        <v>439</v>
      </c>
      <c r="D67" s="134" t="s">
        <v>440</v>
      </c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</row>
    <row r="68" spans="3:16" ht="94.5" customHeight="1">
      <c r="C68" s="100" t="s">
        <v>438</v>
      </c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</row>
    <row r="69" spans="3:16"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</row>
    <row r="70" spans="3:16" ht="30" customHeight="1">
      <c r="C70" s="103" t="s">
        <v>441</v>
      </c>
      <c r="D70" s="134" t="s">
        <v>442</v>
      </c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</row>
    <row r="71" spans="3:16" ht="98.25" customHeight="1">
      <c r="C71" s="100" t="s">
        <v>438</v>
      </c>
      <c r="D71" s="132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</row>
    <row r="72" spans="3:16" ht="21.75" customHeight="1"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</row>
    <row r="73" spans="3:16" ht="30" customHeight="1">
      <c r="C73" s="103" t="s">
        <v>443</v>
      </c>
      <c r="D73" s="134" t="s">
        <v>444</v>
      </c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</row>
    <row r="74" spans="3:16" ht="21.75" customHeight="1">
      <c r="C74" s="100" t="s">
        <v>438</v>
      </c>
      <c r="D74" s="132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</row>
    <row r="75" spans="3:16" ht="99.75" customHeight="1"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</row>
    <row r="76" spans="3:16" ht="29.25" customHeight="1">
      <c r="C76" s="103" t="s">
        <v>445</v>
      </c>
      <c r="D76" s="134" t="s">
        <v>446</v>
      </c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</row>
    <row r="77" spans="3:16" ht="139.5" customHeight="1">
      <c r="C77" s="100" t="s">
        <v>438</v>
      </c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</row>
    <row r="78" spans="3:16" ht="21.75" customHeight="1"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</row>
    <row r="79" spans="3:16" ht="38.25" customHeight="1">
      <c r="C79" s="103" t="s">
        <v>447</v>
      </c>
      <c r="D79" s="136" t="s">
        <v>448</v>
      </c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</row>
    <row r="82" spans="2:15" ht="16.899999999999999"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</row>
    <row r="83" spans="2:15">
      <c r="J83" s="131"/>
      <c r="K83" s="131"/>
      <c r="L83" s="131"/>
      <c r="M83" s="131"/>
      <c r="N83" s="131"/>
      <c r="O83" s="131"/>
    </row>
    <row r="84" spans="2:15">
      <c r="J84" s="131"/>
      <c r="K84" s="131"/>
      <c r="L84" s="131"/>
      <c r="M84" s="131"/>
      <c r="N84" s="131"/>
      <c r="O84" s="131"/>
    </row>
    <row r="85" spans="2:15">
      <c r="J85" s="131"/>
      <c r="K85" s="131"/>
      <c r="L85" s="131"/>
      <c r="M85" s="131"/>
      <c r="N85" s="131"/>
      <c r="O85" s="131"/>
    </row>
    <row r="86" spans="2:15">
      <c r="J86" s="131"/>
      <c r="K86" s="131"/>
      <c r="L86" s="131"/>
      <c r="M86" s="131"/>
      <c r="N86" s="131"/>
      <c r="O86" s="131"/>
    </row>
    <row r="87" spans="2:15">
      <c r="J87" s="131"/>
      <c r="K87" s="131"/>
      <c r="L87" s="131"/>
      <c r="M87" s="131"/>
      <c r="N87" s="131"/>
      <c r="O87" s="131"/>
    </row>
    <row r="88" spans="2:15">
      <c r="J88" s="131"/>
      <c r="K88" s="131"/>
      <c r="L88" s="131"/>
      <c r="M88" s="131"/>
      <c r="N88" s="131"/>
      <c r="O88" s="131"/>
    </row>
    <row r="89" spans="2:15">
      <c r="J89" s="131"/>
      <c r="K89" s="131"/>
      <c r="L89" s="131"/>
      <c r="M89" s="131"/>
      <c r="N89" s="131"/>
      <c r="O89" s="131"/>
    </row>
    <row r="90" spans="2:15">
      <c r="J90" s="131"/>
      <c r="K90" s="131"/>
      <c r="L90" s="131"/>
      <c r="M90" s="131"/>
      <c r="N90" s="131"/>
      <c r="O90" s="131"/>
    </row>
  </sheetData>
  <mergeCells count="26">
    <mergeCell ref="B1:G1"/>
    <mergeCell ref="B2:I2"/>
    <mergeCell ref="D4:I4"/>
    <mergeCell ref="K4:P4"/>
    <mergeCell ref="T4:Y4"/>
    <mergeCell ref="AA4:AF4"/>
    <mergeCell ref="C28:K28"/>
    <mergeCell ref="C49:P49"/>
    <mergeCell ref="D50:I50"/>
    <mergeCell ref="K50:P50"/>
    <mergeCell ref="C61:P61"/>
    <mergeCell ref="D62:P62"/>
    <mergeCell ref="D63:P63"/>
    <mergeCell ref="D64:P64"/>
    <mergeCell ref="D65:P66"/>
    <mergeCell ref="D67:P67"/>
    <mergeCell ref="D68:P69"/>
    <mergeCell ref="D70:P70"/>
    <mergeCell ref="D71:P72"/>
    <mergeCell ref="D73:P73"/>
    <mergeCell ref="B82:O82"/>
    <mergeCell ref="J83:O90"/>
    <mergeCell ref="D74:P75"/>
    <mergeCell ref="D76:P76"/>
    <mergeCell ref="D77:P78"/>
    <mergeCell ref="D79:P79"/>
  </mergeCells>
  <phoneticPr fontId="63" type="noConversion"/>
  <conditionalFormatting sqref="E30:I47">
    <cfRule type="cellIs" dxfId="3" priority="2" operator="greaterThan">
      <formula>0.3</formula>
    </cfRule>
    <cfRule type="cellIs" dxfId="2" priority="3" operator="lessThan">
      <formula>-0.3</formula>
    </cfRule>
  </conditionalFormatting>
  <conditionalFormatting sqref="L30:P47">
    <cfRule type="cellIs" dxfId="1" priority="4" operator="greaterThan">
      <formula>0.3</formula>
    </cfRule>
    <cfRule type="cellIs" dxfId="0" priority="5" operator="lessThan">
      <formula>-0.3</formula>
    </cfRule>
  </conditionalFormatting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00_사용안내</vt:lpstr>
      <vt:lpstr>1-1_기업선정</vt:lpstr>
      <vt:lpstr>1-2_기업개요비교</vt:lpstr>
      <vt:lpstr>1-3_주가추이_월별</vt:lpstr>
      <vt:lpstr>1-4_보고서비교</vt:lpstr>
      <vt:lpstr>1-5_애널리스트보고서</vt:lpstr>
      <vt:lpstr>1-6_신용평가보고서</vt:lpstr>
      <vt:lpstr>2-0_왜_이_실습인가</vt:lpstr>
      <vt:lpstr>2-1_재무상태표</vt:lpstr>
      <vt:lpstr>2-2_공통형_해석</vt:lpstr>
      <vt:lpstr>2-3_PBR_비교</vt:lpstr>
      <vt:lpstr>3-1_손익계산서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이효림[ 대학원박사과정졸업 / 경영학과 ]</cp:lastModifiedBy>
  <cp:revision>22</cp:revision>
  <dcterms:created xsi:type="dcterms:W3CDTF">2026-09-12T14:53:24Z</dcterms:created>
  <dcterms:modified xsi:type="dcterms:W3CDTF">2026-09-20T22:50:57Z</dcterms:modified>
  <dc:language>en-US</dc:language>
</cp:coreProperties>
</file>