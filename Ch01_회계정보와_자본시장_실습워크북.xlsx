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F1ACBB2-647D-4465-8B17-C6ED7E017ABE}" xr6:coauthVersionLast="47" xr6:coauthVersionMax="47" xr10:uidLastSave="{00000000-0000-0000-0000-000000000000}"/>
  <bookViews>
    <workbookView xWindow="-120" yWindow="-120" windowWidth="38640" windowHeight="21120" tabRatio="722" activeTab="1" xr2:uid="{00000000-000D-0000-FFFF-FFFF00000000}"/>
  </bookViews>
  <sheets>
    <sheet name="00_사용안내" sheetId="10" r:id="rId1"/>
    <sheet name="01_기업선정" sheetId="2" r:id="rId2"/>
    <sheet name="02_기업개요비교" sheetId="3" r:id="rId3"/>
    <sheet name="03_주가추이" sheetId="4" r:id="rId4"/>
    <sheet name="04_재무제표수집" sheetId="5" r:id="rId5"/>
    <sheet name="05_보고서비교" sheetId="6" r:id="rId6"/>
    <sheet name="06_애널리스트 보고서" sheetId="8" r:id="rId7"/>
    <sheet name="07_신용평가 보고서" sheetId="9" r:id="rId8"/>
    <sheet name="08_제출체크리스트" sheetId="7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5" l="1"/>
  <c r="H47" i="5"/>
  <c r="H49" i="5" s="1"/>
  <c r="G47" i="5"/>
  <c r="G49" i="5" s="1"/>
  <c r="F47" i="5"/>
  <c r="F49" i="5" s="1"/>
  <c r="E47" i="5"/>
  <c r="E49" i="5" s="1"/>
  <c r="D47" i="5"/>
  <c r="D49" i="5" s="1"/>
  <c r="H40" i="5"/>
  <c r="G40" i="5"/>
  <c r="F40" i="5"/>
  <c r="E40" i="5"/>
  <c r="D40" i="5"/>
  <c r="H37" i="5"/>
  <c r="G37" i="5"/>
  <c r="G58" i="5" s="1"/>
  <c r="F37" i="5"/>
  <c r="F58" i="5" s="1"/>
  <c r="E37" i="5"/>
  <c r="E58" i="5" s="1"/>
  <c r="D37" i="5"/>
  <c r="D58" i="5" s="1"/>
  <c r="H19" i="5"/>
  <c r="H21" i="5" s="1"/>
  <c r="G19" i="5"/>
  <c r="G21" i="5" s="1"/>
  <c r="F19" i="5"/>
  <c r="F21" i="5" s="1"/>
  <c r="E19" i="5"/>
  <c r="E21" i="5" s="1"/>
  <c r="D19" i="5"/>
  <c r="D21" i="5" s="1"/>
  <c r="H12" i="5"/>
  <c r="G12" i="5"/>
  <c r="F12" i="5"/>
  <c r="E12" i="5"/>
  <c r="D12" i="5"/>
  <c r="H9" i="5"/>
  <c r="H30" i="5" s="1"/>
  <c r="G9" i="5"/>
  <c r="F9" i="5"/>
  <c r="F30" i="5" s="1"/>
  <c r="E9" i="5"/>
  <c r="E30" i="5" s="1"/>
  <c r="D9" i="5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H15" i="4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G15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I8" i="4"/>
  <c r="H8" i="4"/>
  <c r="G8" i="4"/>
  <c r="I7" i="4"/>
  <c r="H7" i="4"/>
  <c r="G7" i="4"/>
  <c r="E14" i="7"/>
  <c r="G30" i="5" l="1"/>
  <c r="H5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2" authorId="0" shapeId="0" xr:uid="{00000000-0006-0000-0100-000002000000}">
      <text>
        <r>
          <rPr>
            <sz val="10"/>
            <rFont val="돋움"/>
            <family val="3"/>
            <charset val="129"/>
          </rPr>
          <t>시가총액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돋움"/>
            <family val="3"/>
            <charset val="129"/>
          </rPr>
          <t>발행주식수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돋움"/>
            <family val="3"/>
            <charset val="129"/>
          </rPr>
          <t>기준일</t>
        </r>
        <r>
          <rPr>
            <sz val="10"/>
            <rFont val="Arial"/>
            <family val="2"/>
          </rPr>
          <t xml:space="preserve">(2025-12-30) </t>
        </r>
        <r>
          <rPr>
            <sz val="10"/>
            <rFont val="돋움"/>
            <family val="3"/>
            <charset val="129"/>
          </rPr>
          <t>종가</t>
        </r>
        <r>
          <rPr>
            <sz val="10"/>
            <rFont val="Arial"/>
            <family val="2"/>
          </rPr>
          <t xml:space="preserve">.
</t>
        </r>
      </text>
    </comment>
    <comment ref="C33" authorId="0" shapeId="0" xr:uid="{00000000-0006-0000-0100-000001000000}">
      <text>
        <r>
          <rPr>
            <sz val="10"/>
            <rFont val="Noto Sans CJK SC"/>
            <family val="2"/>
          </rPr>
          <t>동일 산업 여부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사업 유사성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매출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시총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비교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동일 시장 상장 여부를 근거로 쓰세요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6" authorId="0" shapeId="0" xr:uid="{00000000-0006-0000-0500-000002000000}">
      <text>
        <r>
          <rPr>
            <sz val="10"/>
            <rFont val="Noto Sans CJK SC"/>
            <family val="2"/>
          </rPr>
          <t>힌트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채권투자자는 원리금 상환 여부에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주식투자자는 성장에 따른 상승 여지에 관심이 있습니다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또한 애널리스트가 갖는 이해상충 문제</t>
        </r>
        <r>
          <rPr>
            <sz val="10"/>
            <rFont val="Arial"/>
            <family val="2"/>
          </rPr>
          <t>(e.g.</t>
        </r>
        <r>
          <rPr>
            <sz val="10"/>
            <rFont val="Noto Sans CJK SC"/>
            <family val="2"/>
          </rPr>
          <t>주관사 애널리스트의 경우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등도 함께 고려해 보세요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<sst xmlns="http://schemas.openxmlformats.org/spreadsheetml/2006/main" count="335" uniqueCount="285">
  <si>
    <t>시트</t>
  </si>
  <si>
    <t>할 일</t>
  </si>
  <si>
    <t>•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</si>
  <si>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분석 대상기업 </t>
    </r>
    <r>
      <rPr>
        <b/>
        <sz val="16"/>
        <color rgb="FF1F3864"/>
        <rFont val="맑은 고딕"/>
        <family val="3"/>
        <charset val="129"/>
      </rPr>
      <t xml:space="preserve">· </t>
    </r>
    <r>
      <rPr>
        <b/>
        <sz val="16"/>
        <color rgb="FF1F3864"/>
        <rFont val="Noto Sans CJK SC"/>
        <family val="2"/>
      </rPr>
      <t>비교기업 선정</t>
    </r>
  </si>
  <si>
    <r>
      <rPr>
        <sz val="9"/>
        <color rgb="FF808080"/>
        <rFont val="맑은 고딕"/>
        <family val="3"/>
        <charset val="129"/>
      </rPr>
      <t xml:space="preserve">DART(dart.fss.or.kr) </t>
    </r>
    <r>
      <rPr>
        <sz val="9"/>
        <color rgb="FF808080"/>
        <rFont val="Noto Sans CJK SC"/>
        <family val="2"/>
      </rPr>
      <t xml:space="preserve">최근연도 사업보고서 → </t>
    </r>
    <r>
      <rPr>
        <sz val="9"/>
        <color rgb="FF808080"/>
        <rFont val="맑은 고딕"/>
        <family val="3"/>
        <charset val="129"/>
      </rPr>
      <t xml:space="preserve">'II. </t>
    </r>
    <r>
      <rPr>
        <sz val="9"/>
        <color rgb="FF808080"/>
        <rFont val="Noto Sans CJK SC"/>
        <family val="2"/>
      </rPr>
      <t>사업의 개요</t>
    </r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를 먼저 읽고 작성하세요</t>
    </r>
    <r>
      <rPr>
        <sz val="9"/>
        <color rgb="FF808080"/>
        <rFont val="맑은 고딕"/>
        <family val="3"/>
        <charset val="129"/>
      </rPr>
      <t>.</t>
    </r>
  </si>
  <si>
    <t>사업보고서 표지</t>
  </si>
  <si>
    <t>종목코드</t>
  </si>
  <si>
    <r>
      <rPr>
        <sz val="9"/>
        <color rgb="FF808080"/>
        <rFont val="맑은 고딕"/>
        <family val="3"/>
        <charset val="129"/>
      </rPr>
      <t>6</t>
    </r>
    <r>
      <rPr>
        <sz val="9"/>
        <color rgb="FF808080"/>
        <rFont val="Noto Sans CJK SC"/>
        <family val="2"/>
      </rPr>
      <t>자리</t>
    </r>
    <r>
      <rPr>
        <sz val="9"/>
        <color rgb="FF808080"/>
        <rFont val="맑은 고딕"/>
        <family val="3"/>
        <charset val="129"/>
      </rPr>
      <t xml:space="preserve">. </t>
    </r>
    <r>
      <rPr>
        <sz val="9"/>
        <color rgb="FF808080"/>
        <rFont val="Noto Sans CJK SC"/>
        <family val="2"/>
      </rPr>
      <t>예</t>
    </r>
    <r>
      <rPr>
        <sz val="9"/>
        <color rgb="FF808080"/>
        <rFont val="맑은 고딕"/>
        <family val="3"/>
        <charset val="129"/>
      </rPr>
      <t>: 005930</t>
    </r>
  </si>
  <si>
    <t>상장시장</t>
  </si>
  <si>
    <t>KOSPI</t>
  </si>
  <si>
    <t>KOSPI / KOSDAQ / KONEX</t>
  </si>
  <si>
    <t>회사 개요 또는 KRX</t>
  </si>
  <si>
    <t>업종 (표준산업분류)</t>
  </si>
  <si>
    <t>사업보고서 'I. 회사의 개요'</t>
  </si>
  <si>
    <r>
      <rPr>
        <sz val="9"/>
        <color rgb="FF808080"/>
        <rFont val="맑은 고딕"/>
        <family val="3"/>
        <charset val="129"/>
      </rPr>
      <t xml:space="preserve">'II. </t>
    </r>
    <r>
      <rPr>
        <sz val="9"/>
        <color rgb="FF808080"/>
        <rFont val="Noto Sans CJK SC"/>
        <family val="2"/>
      </rPr>
      <t>사업의 개요</t>
    </r>
    <r>
      <rPr>
        <sz val="9"/>
        <color rgb="FF808080"/>
        <rFont val="맑은 고딕"/>
        <family val="3"/>
        <charset val="129"/>
      </rPr>
      <t xml:space="preserve">' </t>
    </r>
    <r>
      <rPr>
        <sz val="9"/>
        <color rgb="FF808080"/>
        <rFont val="Noto Sans CJK SC"/>
        <family val="2"/>
      </rPr>
      <t>매출 구성</t>
    </r>
  </si>
  <si>
    <t>예: 2025</t>
  </si>
  <si>
    <t>시가총액 (백만원)</t>
  </si>
  <si>
    <t>조회일 기준(stock.naver.com, DataGuide)</t>
  </si>
  <si>
    <t>보통주 기준, 자기주식 제외 여부 표시</t>
  </si>
  <si>
    <t>조회일자 함께 기록</t>
  </si>
  <si>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대주주 등에 관한 사항</t>
    </r>
    <r>
      <rPr>
        <sz val="9"/>
        <color rgb="FF808080"/>
        <rFont val="맑은 고딕"/>
        <family val="3"/>
        <charset val="129"/>
      </rPr>
      <t>'</t>
    </r>
  </si>
  <si>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임원 및 직원 등에 관한 사항</t>
    </r>
    <r>
      <rPr>
        <sz val="9"/>
        <color rgb="FF808080"/>
        <rFont val="맑은 고딕"/>
        <family val="3"/>
        <charset val="129"/>
      </rPr>
      <t>'</t>
    </r>
  </si>
  <si>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감사인의 감사의견 등</t>
    </r>
    <r>
      <rPr>
        <sz val="9"/>
        <color rgb="FF808080"/>
        <rFont val="맑은 고딕"/>
        <family val="3"/>
        <charset val="129"/>
      </rPr>
      <t>'</t>
    </r>
  </si>
  <si>
    <t>적정 / 한정 / 부적정 / 의견거절</t>
  </si>
  <si>
    <r>
      <rPr>
        <sz val="9"/>
        <color rgb="FF808080"/>
        <rFont val="맑은 고딕"/>
        <family val="3"/>
        <charset val="129"/>
      </rPr>
      <t xml:space="preserve">DART </t>
    </r>
    <r>
      <rPr>
        <sz val="9"/>
        <color rgb="FF808080"/>
        <rFont val="Noto Sans CJK SC"/>
        <family val="2"/>
      </rPr>
      <t>문서 링크</t>
    </r>
  </si>
  <si>
    <t>YYYY-MM-DD</t>
  </si>
  <si>
    <t>삼성생명</t>
  </si>
  <si>
    <t>한화생명</t>
  </si>
  <si>
    <t>032830</t>
  </si>
  <si>
    <t>088350</t>
  </si>
  <si>
    <t>보험업 (K65)</t>
  </si>
  <si>
    <t>16,800,000</t>
  </si>
  <si>
    <t>2,700,000</t>
  </si>
  <si>
    <t>※ 위 예시는 형식 안내용 숫자이며 실제 공시치가 아닙니다. 강의노트 1장의 삼성생명 사례에서 착안한 예시입니다.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</si>
  <si>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Chapter Report </t>
    </r>
    <r>
      <rPr>
        <b/>
        <sz val="16"/>
        <color rgb="FF1F3864"/>
        <rFont val="Noto Sans CJK SC"/>
        <family val="2"/>
      </rPr>
      <t>작성용 기업개요 비교</t>
    </r>
  </si>
  <si>
    <t>본 장의 과제는 2장 분량의 Chapter Report입니다. 아래 항목이 보고서 목차가 됩니다. 여러분은 증권사 애널리스트입니다.</t>
  </si>
  <si>
    <t>출처 기록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</si>
  <si>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주가 변동추이와 시장대표지수</t>
    </r>
    <r>
      <rPr>
        <b/>
        <sz val="16"/>
        <color rgb="FF1F3864"/>
        <rFont val="맑은 고딕"/>
        <family val="3"/>
        <charset val="129"/>
      </rPr>
      <t xml:space="preserve">(KOSPI) </t>
    </r>
    <r>
      <rPr>
        <b/>
        <sz val="16"/>
        <color rgb="FF1F3864"/>
        <rFont val="Noto Sans CJK SC"/>
        <family val="2"/>
      </rPr>
      <t>비교</t>
    </r>
  </si>
  <si>
    <r>
      <rPr>
        <sz val="9"/>
        <color rgb="FF808080"/>
        <rFont val="맑은 고딕"/>
        <family val="3"/>
        <charset val="129"/>
      </rPr>
      <t xml:space="preserve">stock.naver.com </t>
    </r>
    <r>
      <rPr>
        <sz val="9"/>
        <color rgb="FF808080"/>
        <rFont val="Noto Sans CJK SC"/>
        <family val="2"/>
      </rPr>
      <t xml:space="preserve">또는 </t>
    </r>
    <r>
      <rPr>
        <sz val="9"/>
        <color rgb="FF808080"/>
        <rFont val="맑은 고딕"/>
        <family val="3"/>
        <charset val="129"/>
      </rPr>
      <t>finance.yahoo.com</t>
    </r>
    <r>
      <rPr>
        <sz val="9"/>
        <color rgb="FF808080"/>
        <rFont val="Noto Sans CJK SC"/>
        <family val="2"/>
      </rPr>
      <t>에서 월별 종가를 받아 붙여넣으세요</t>
    </r>
    <r>
      <rPr>
        <sz val="9"/>
        <color rgb="FF808080"/>
        <rFont val="맑은 고딕"/>
        <family val="3"/>
        <charset val="129"/>
      </rPr>
      <t xml:space="preserve">. </t>
    </r>
    <r>
      <rPr>
        <sz val="9"/>
        <color rgb="FF808080"/>
        <rFont val="Noto Sans CJK SC"/>
        <family val="2"/>
      </rPr>
      <t>배당은 고려하지 않은 단순 주가 기준입니다</t>
    </r>
    <r>
      <rPr>
        <sz val="9"/>
        <color rgb="FF808080"/>
        <rFont val="맑은 고딕"/>
        <family val="3"/>
        <charset val="129"/>
      </rPr>
      <t>.</t>
    </r>
  </si>
  <si>
    <t>작성 예시 (형식 참고용 · 지우지 마세요)</t>
  </si>
  <si>
    <t>연월</t>
  </si>
  <si>
    <t>대상기업
종가(원)</t>
  </si>
  <si>
    <t>비교기업
종가(원)</t>
  </si>
  <si>
    <t>대상
월수익률</t>
  </si>
  <si>
    <t>비교
월수익률</t>
  </si>
  <si>
    <r>
      <rPr>
        <b/>
        <sz val="10"/>
        <color rgb="FFFFFFFF"/>
        <rFont val="맑은 고딕"/>
        <family val="3"/>
        <charset val="129"/>
      </rPr>
      <t xml:space="preserve">KOSPI
</t>
    </r>
    <r>
      <rPr>
        <b/>
        <sz val="10"/>
        <color rgb="FFFFFFFF"/>
        <rFont val="Noto Sans CJK SC"/>
        <family val="2"/>
      </rPr>
      <t>월수익률</t>
    </r>
  </si>
  <si>
    <t>2020-10</t>
  </si>
  <si>
    <t>-</t>
  </si>
  <si>
    <t>2020-11</t>
  </si>
  <si>
    <t>2020-12</t>
  </si>
  <si>
    <t>※ 월수익률 = 당월 종가 ÷ 전월 종가 − 1. 첫 행은 전월 자료가 없으므로 비워 둡니다.</t>
  </si>
  <si>
    <t>■ 실습표 : 최근 5년(60개월) 월별 자료</t>
  </si>
  <si>
    <t>↑ 회색 아닌 흰 칸(월수익률·지수)은 비어 있습니다. 첫 3행의 수식을 확인한 뒤 60행까지 복사해 채우세요.</t>
  </si>
  <si>
    <t>2021-01</t>
  </si>
  <si>
    <t>주가는 FnGuide 일간수익률(개별주식수익률.xlsx)을 기준일 종가에서 역산한 월말 종가입니다. KOSPI 2024년 말 역산치 2,398.67이 실제 종가 2,399.49와 0.03% 차이로 일치해 정확도를 확인했습니다. 실제 종가로 교체하려면 KRX·네이버증권에서 받으세요.</t>
  </si>
  <si>
    <t>2021-02</t>
  </si>
  <si>
    <t>지수(100) = 전월 지수 × (1 + 당월 수익률). 시작 시점을 100으로 맞춰야 세 계열을 같은 출발선에서 비교할 수 있습니다.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</si>
  <si>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</si>
  <si>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</si>
  <si>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</si>
  <si>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</si>
  <si>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</si>
  <si>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</si>
  <si>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</si>
  <si>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</si>
  <si>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</si>
  <si>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</si>
  <si>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</si>
  <si>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</si>
  <si>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</si>
  <si>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</si>
  <si>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</si>
  <si>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</si>
  <si>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</si>
  <si>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</si>
  <si>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</si>
  <si>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</si>
  <si>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</si>
  <si>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</si>
  <si>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</si>
  <si>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</si>
  <si>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</si>
  <si>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</si>
  <si>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</si>
  <si>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</si>
  <si>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</si>
  <si>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</si>
  <si>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</si>
  <si>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</si>
  <si>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</si>
  <si>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</si>
  <si>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</si>
  <si>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</si>
  <si>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</si>
  <si>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</si>
  <si>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</si>
  <si>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</si>
  <si>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</si>
  <si>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</si>
  <si>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</si>
  <si>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</si>
  <si>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</si>
  <si>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</si>
  <si>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</si>
  <si>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</si>
  <si>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</si>
  <si>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</si>
  <si>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</si>
  <si>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</si>
  <si>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</si>
  <si>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</si>
  <si>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</si>
  <si>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</si>
  <si>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</si>
  <si>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</si>
  <si>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>] 5</t>
    </r>
    <r>
      <rPr>
        <b/>
        <sz val="16"/>
        <color rgb="FF1F3864"/>
        <rFont val="Noto Sans CJK SC"/>
        <family val="2"/>
      </rPr>
      <t>개 연도 요약 재무제표 수집</t>
    </r>
  </si>
  <si>
    <t>단위: 백만원. 연결재무제표 기준(별도 사용 시 아래 메모에 명시). 2장 이후 모든 분석이 이 시트를 참조합니다.</t>
  </si>
  <si>
    <t>■ 대상기업</t>
  </si>
  <si>
    <t>2021</t>
  </si>
  <si>
    <t>2022</t>
  </si>
  <si>
    <t>2023</t>
  </si>
  <si>
    <t>2024</t>
  </si>
  <si>
    <t>2025</t>
  </si>
  <si>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불일치</t>
    </r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가 뜨면 옮겨 적은 숫자나 단위를 다시 확인하세요</t>
    </r>
    <r>
      <rPr>
        <sz val="9"/>
        <color rgb="FF808080"/>
        <rFont val="맑은 고딕"/>
        <family val="3"/>
        <charset val="129"/>
      </rPr>
      <t>.</t>
    </r>
  </si>
  <si>
    <t>■ 비교기업</t>
  </si>
  <si>
    <t>한국신용평가 www.kisrating.com · 증권사 리포트는 각 사 홈페이지 또는 네이버 증권 리서치</t>
  </si>
  <si>
    <t>완료한 항목의 '완료' 칸에 O를 입력하세요.</t>
  </si>
  <si>
    <r>
      <t>[과제③] 최근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5년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월별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주가와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KOSPI를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입력하고, 수익률·지수화·그래프로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성과를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봅니다.</t>
    </r>
    <phoneticPr fontId="23" type="noConversion"/>
  </si>
  <si>
    <r>
      <t>[과제</t>
    </r>
    <r>
      <rPr>
        <sz val="10"/>
        <color rgb="FF000000"/>
        <rFont val="굴림"/>
        <family val="3"/>
        <charset val="129"/>
      </rPr>
      <t>④</t>
    </r>
    <r>
      <rPr>
        <sz val="10"/>
        <color rgb="FF000000"/>
        <rFont val="맑은 고딕"/>
        <family val="3"/>
        <charset val="129"/>
      </rPr>
      <t>] 5개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요약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재무제표를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입력합니다. 2장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분석이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참조합니다.</t>
    </r>
    <phoneticPr fontId="23" type="noConversion"/>
  </si>
  <si>
    <t>01_기업선정</t>
    <phoneticPr fontId="23" type="noConversion"/>
  </si>
  <si>
    <r>
      <t>[과제①] 대상기업·비교기업을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DART에서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사업보고서를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받아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기본정보를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정리합니다.</t>
    </r>
    <phoneticPr fontId="23" type="noConversion"/>
  </si>
  <si>
    <t>02_기업개요비교</t>
    <phoneticPr fontId="23" type="noConversion"/>
  </si>
  <si>
    <r>
      <t>[과제②] Chapter Report에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산업·경쟁현황·제품·지배구조·경영자·감사인을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나란히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비교합니다.</t>
    </r>
    <phoneticPr fontId="23" type="noConversion"/>
  </si>
  <si>
    <t>03_주가추이</t>
    <phoneticPr fontId="23" type="noConversion"/>
  </si>
  <si>
    <t>04_재무제표수집</t>
    <phoneticPr fontId="23" type="noConversion"/>
  </si>
  <si>
    <t>05_보고서비교</t>
    <phoneticPr fontId="23" type="noConversion"/>
  </si>
  <si>
    <r>
      <t>[과제</t>
    </r>
    <r>
      <rPr>
        <sz val="10"/>
        <color rgb="FF000000"/>
        <rFont val="굴림"/>
        <family val="3"/>
        <charset val="129"/>
      </rPr>
      <t>⑤</t>
    </r>
    <r>
      <rPr>
        <sz val="10"/>
        <color rgb="FF000000"/>
        <rFont val="맑은 고딕"/>
        <family val="3"/>
        <charset val="129"/>
      </rPr>
      <t>] 증권사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애널리스트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신용평가기관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차이를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항목별로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대조합니다.</t>
    </r>
    <phoneticPr fontId="23" type="noConversion"/>
  </si>
  <si>
    <t>06_애널리스트 보고서</t>
    <phoneticPr fontId="23" type="noConversion"/>
  </si>
  <si>
    <t xml:space="preserve">대상 기업의 애널리스트 보고서 중 최근 보고서를 찾아 첨부합니다. </t>
    <phoneticPr fontId="23" type="noConversion"/>
  </si>
  <si>
    <t>07_신용평가 보고서</t>
    <phoneticPr fontId="23" type="noConversion"/>
  </si>
  <si>
    <t xml:space="preserve">대상 기업의 신용평가 보고서 중 최근 보고서를 찾아 첨부합니다. </t>
    <phoneticPr fontId="23" type="noConversion"/>
  </si>
  <si>
    <t>08_제출체크리스트</t>
    <phoneticPr fontId="23" type="noConversion"/>
  </si>
  <si>
    <r>
      <rPr>
        <sz val="10"/>
        <color rgb="FF000000"/>
        <rFont val="맑은 고딕"/>
        <family val="3"/>
        <charset val="129"/>
      </rPr>
      <t>제출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빠진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항목이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없는지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스스로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점검합니다.</t>
    </r>
    <phoneticPr fontId="23" type="noConversion"/>
  </si>
  <si>
    <r>
      <rPr>
        <b/>
        <sz val="16"/>
        <color rgb="FF1F3864"/>
        <rFont val="맑은 고딕"/>
        <family val="3"/>
        <charset val="129"/>
      </rPr>
      <t>재무제표분석과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기업가치평가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Noto Sans CJK SC"/>
        <family val="2"/>
        <charset val="129"/>
      </rPr>
      <t>─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Chapter 1 실습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워크북</t>
    </r>
    <phoneticPr fontId="23" type="noConversion"/>
  </si>
  <si>
    <r>
      <rPr>
        <sz val="9"/>
        <color rgb="FF808080"/>
        <rFont val="Noto Sans CJK SC"/>
        <family val="2"/>
      </rPr>
      <t>회계정보와 자본시장 │ 백복현</t>
    </r>
    <r>
      <rPr>
        <sz val="9"/>
        <color rgb="FF808080"/>
        <rFont val="맑은 고딕"/>
        <family val="3"/>
        <charset val="129"/>
      </rPr>
      <t>·</t>
    </r>
    <r>
      <rPr>
        <sz val="9"/>
        <color rgb="FF808080"/>
        <rFont val="Noto Sans CJK SC"/>
        <family val="2"/>
      </rPr>
      <t>장궈화</t>
    </r>
    <r>
      <rPr>
        <sz val="9"/>
        <color rgb="FF808080"/>
        <rFont val="맑은 고딕"/>
        <family val="3"/>
        <charset val="129"/>
      </rPr>
      <t>·</t>
    </r>
    <r>
      <rPr>
        <sz val="9"/>
        <color rgb="FF808080"/>
        <rFont val="Noto Sans CJK SC"/>
        <family val="2"/>
      </rPr>
      <t>최종학</t>
    </r>
    <r>
      <rPr>
        <sz val="9"/>
        <color rgb="FF808080"/>
        <rFont val="맑은 고딕"/>
        <family val="3"/>
        <charset val="129"/>
      </rPr>
      <t xml:space="preserve">, </t>
    </r>
    <r>
      <rPr>
        <sz val="9"/>
        <color rgb="FF808080"/>
        <rFont val="Noto Sans CJK SC"/>
        <family val="2"/>
      </rPr>
      <t>『재무제표분석과 기업가치평가』</t>
    </r>
    <r>
      <rPr>
        <sz val="9"/>
        <color rgb="FF808080"/>
        <rFont val="맑은 고딕"/>
        <family val="3"/>
        <charset val="129"/>
      </rPr>
      <t>(</t>
    </r>
    <r>
      <rPr>
        <sz val="9"/>
        <color rgb="FF808080"/>
        <rFont val="Noto Sans CJK SC"/>
        <family val="2"/>
      </rPr>
      <t>박영사</t>
    </r>
    <r>
      <rPr>
        <sz val="9"/>
        <color rgb="FF808080"/>
        <rFont val="맑은 고딕"/>
        <family val="3"/>
        <charset val="129"/>
      </rPr>
      <t xml:space="preserve">, </t>
    </r>
    <r>
      <rPr>
        <sz val="9"/>
        <color rgb="FF808080"/>
        <rFont val="Noto Sans CJK SC"/>
        <family val="2"/>
      </rPr>
      <t>제</t>
    </r>
    <r>
      <rPr>
        <sz val="9"/>
        <color rgb="FF808080"/>
        <rFont val="맑은 고딕"/>
        <family val="3"/>
        <charset val="129"/>
      </rPr>
      <t>4</t>
    </r>
    <r>
      <rPr>
        <sz val="9"/>
        <color rgb="FF808080"/>
        <rFont val="Noto Sans CJK SC"/>
        <family val="2"/>
      </rPr>
      <t>판</t>
    </r>
    <r>
      <rPr>
        <sz val="9"/>
        <color rgb="FF808080"/>
        <rFont val="맑은 고딕"/>
        <family val="3"/>
        <charset val="129"/>
      </rPr>
      <t xml:space="preserve">) </t>
    </r>
    <r>
      <rPr>
        <sz val="9"/>
        <color rgb="FF808080"/>
        <rFont val="Noto Sans CJK SC"/>
        <family val="2"/>
      </rPr>
      <t>제</t>
    </r>
    <r>
      <rPr>
        <sz val="9"/>
        <color rgb="FF808080"/>
        <rFont val="맑은 고딕"/>
        <family val="3"/>
        <charset val="129"/>
      </rPr>
      <t>1</t>
    </r>
    <r>
      <rPr>
        <sz val="9"/>
        <color rgb="FF808080"/>
        <rFont val="Noto Sans CJK SC"/>
        <family val="2"/>
      </rPr>
      <t>장 과제 및 사례문제</t>
    </r>
  </si>
  <si>
    <r>
      <rPr>
        <b/>
        <sz val="11"/>
        <color rgb="FF1F3864"/>
        <rFont val="Segoe UI Symbol"/>
        <family val="2"/>
      </rPr>
      <t>■</t>
    </r>
    <r>
      <rPr>
        <b/>
        <sz val="11"/>
        <color rgb="FF1F3864"/>
        <rFont val="Noto Sans CJK SC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셀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색상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규칙</t>
    </r>
    <phoneticPr fontId="23" type="noConversion"/>
  </si>
  <si>
    <r>
      <rPr>
        <sz val="10"/>
        <color rgb="FF000000"/>
        <rFont val="맑은 고딕"/>
        <family val="3"/>
        <charset val="129"/>
      </rPr>
      <t>파란색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글씨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+ 노란색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배경</t>
    </r>
    <phoneticPr fontId="23" type="noConversion"/>
  </si>
  <si>
    <r>
      <rPr>
        <sz val="10"/>
        <color rgb="FF000000"/>
        <rFont val="맑은 고딕"/>
        <family val="3"/>
        <charset val="129"/>
      </rPr>
      <t>여러분이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입력하는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칸입니다. (숫자·텍스트를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손으로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채워넣는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곳)</t>
    </r>
    <phoneticPr fontId="23" type="noConversion"/>
  </si>
  <si>
    <r>
      <rPr>
        <sz val="10"/>
        <color rgb="FF000000"/>
        <rFont val="맑은 고딕"/>
        <family val="3"/>
        <charset val="129"/>
      </rPr>
      <t>검정색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글씨</t>
    </r>
    <phoneticPr fontId="23" type="noConversion"/>
  </si>
  <si>
    <r>
      <rPr>
        <sz val="10"/>
        <color rgb="FF000000"/>
        <rFont val="맑은 고딕"/>
        <family val="3"/>
        <charset val="129"/>
      </rPr>
      <t>수식이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들어가야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칸입니다. 값을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타이핑하지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수식을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쓰세요.</t>
    </r>
    <phoneticPr fontId="23" type="noConversion"/>
  </si>
  <si>
    <r>
      <rPr>
        <sz val="10"/>
        <color rgb="FF000000"/>
        <rFont val="맑은 고딕"/>
        <family val="3"/>
        <charset val="129"/>
      </rPr>
      <t>초록색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글씨</t>
    </r>
    <phoneticPr fontId="23" type="noConversion"/>
  </si>
  <si>
    <r>
      <rPr>
        <sz val="10"/>
        <color rgb="FF000000"/>
        <rFont val="맑은 고딕"/>
        <family val="3"/>
        <charset val="129"/>
      </rPr>
      <t>다른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참조하는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수식입니다.</t>
    </r>
    <phoneticPr fontId="23" type="noConversion"/>
  </si>
  <si>
    <r>
      <rPr>
        <sz val="10"/>
        <color rgb="FF000000"/>
        <rFont val="맑은 고딕"/>
        <family val="3"/>
        <charset val="129"/>
      </rPr>
      <t>회색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'예시'</t>
    </r>
    <phoneticPr fontId="23" type="noConversion"/>
  </si>
  <si>
    <r>
      <rPr>
        <sz val="10"/>
        <color rgb="FF000000"/>
        <rFont val="맑은 고딕"/>
        <family val="3"/>
        <charset val="129"/>
      </rPr>
      <t>작성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형식을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보여주는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참고용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행입니다. 지우지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두세요.</t>
    </r>
    <phoneticPr fontId="23" type="noConversion"/>
  </si>
  <si>
    <r>
      <rPr>
        <b/>
        <sz val="11"/>
        <color rgb="FF1F3864"/>
        <rFont val="Segoe UI Symbol"/>
        <family val="2"/>
      </rPr>
      <t>■</t>
    </r>
    <r>
      <rPr>
        <b/>
        <sz val="11"/>
        <color rgb="FF1F3864"/>
        <rFont val="Noto Sans CJK SC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시트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구성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및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진행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순서</t>
    </r>
    <phoneticPr fontId="23" type="noConversion"/>
  </si>
  <si>
    <r>
      <rPr>
        <b/>
        <sz val="11"/>
        <color rgb="FF1F3864"/>
        <rFont val="Segoe UI Symbol"/>
        <family val="2"/>
      </rPr>
      <t>■</t>
    </r>
    <r>
      <rPr>
        <b/>
        <sz val="11"/>
        <color rgb="FF1F3864"/>
        <rFont val="Noto Sans CJK SC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유의사항</t>
    </r>
    <phoneticPr fontId="23" type="noConversion"/>
  </si>
  <si>
    <r>
      <rPr>
        <sz val="10"/>
        <color rgb="FF000000"/>
        <rFont val="맑은 고딕"/>
        <family val="3"/>
        <charset val="129"/>
      </rPr>
      <t>대상기업·비교기업은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최소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5년치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회계정보가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상장기업으로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고르세요. 상장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짧으면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장의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추세분석이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불가능해집니다.</t>
    </r>
    <phoneticPr fontId="23" type="noConversion"/>
  </si>
  <si>
    <r>
      <rPr>
        <sz val="10"/>
        <color rgb="FF000000"/>
        <rFont val="맑은 고딕"/>
        <family val="3"/>
        <charset val="129"/>
      </rPr>
      <t>금액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단위는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'백만원'으로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통일합니다. 사업보고서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원문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단위(원, 천원)와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있으니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옮겨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확인하세요.</t>
    </r>
    <phoneticPr fontId="23" type="noConversion"/>
  </si>
  <si>
    <r>
      <rPr>
        <sz val="10"/>
        <color rgb="FF000000"/>
        <rFont val="맑은 고딕"/>
        <family val="3"/>
        <charset val="129"/>
      </rPr>
      <t>숫자를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손으로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계산해서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마세요. 수식으로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연결해두어야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원자료를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고쳤을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바뀝니다.</t>
    </r>
    <phoneticPr fontId="23" type="noConversion"/>
  </si>
  <si>
    <r>
      <rPr>
        <sz val="10"/>
        <color rgb="FF000000"/>
        <rFont val="맑은 고딕"/>
        <family val="3"/>
        <charset val="129"/>
      </rPr>
      <t>출처(사업보고서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페이지, URL, 조회일자)를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'출처' 칸에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남겨두면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있습니다.</t>
    </r>
    <phoneticPr fontId="23" type="noConversion"/>
  </si>
  <si>
    <t>기업명</t>
    <phoneticPr fontId="23" type="noConversion"/>
  </si>
  <si>
    <t>종목코드</t>
    <phoneticPr fontId="23" type="noConversion"/>
  </si>
  <si>
    <t>대상기업</t>
    <phoneticPr fontId="23" type="noConversion"/>
  </si>
  <si>
    <t>비교기업</t>
    <phoneticPr fontId="23" type="noConversion"/>
  </si>
  <si>
    <r>
      <rPr>
        <b/>
        <sz val="10"/>
        <color rgb="FFFFFFFF"/>
        <rFont val="맑은 고딕"/>
        <family val="3"/>
        <charset val="129"/>
      </rPr>
      <t>확인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방법</t>
    </r>
    <r>
      <rPr>
        <b/>
        <sz val="10"/>
        <color rgb="FFFFFFFF"/>
        <rFont val="Arial"/>
        <family val="2"/>
      </rPr>
      <t xml:space="preserve"> / </t>
    </r>
    <r>
      <rPr>
        <b/>
        <sz val="10"/>
        <color rgb="FFFFFFFF"/>
        <rFont val="맑은 고딕"/>
        <family val="3"/>
        <charset val="129"/>
      </rPr>
      <t>메모</t>
    </r>
    <phoneticPr fontId="23" type="noConversion"/>
  </si>
  <si>
    <t>항목</t>
    <phoneticPr fontId="23" type="noConversion"/>
  </si>
  <si>
    <t>상장시장</t>
    <phoneticPr fontId="23" type="noConversion"/>
  </si>
  <si>
    <t>상장일</t>
    <phoneticPr fontId="23" type="noConversion"/>
  </si>
  <si>
    <r>
      <rPr>
        <b/>
        <sz val="10"/>
        <color rgb="FF000000"/>
        <rFont val="맑은 고딕"/>
        <family val="3"/>
        <charset val="129"/>
      </rPr>
      <t>업종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표준산업분류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</si>
  <si>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제품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서비스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</si>
  <si>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최근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사업연도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</si>
  <si>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시가총액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백만원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</si>
  <si>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발행주식수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주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</si>
  <si>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최근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종가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원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</si>
  <si>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최대주주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및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지분율</t>
    </r>
    <phoneticPr fontId="23" type="noConversion"/>
  </si>
  <si>
    <t>대표이사</t>
    <phoneticPr fontId="23" type="noConversion"/>
  </si>
  <si>
    <t>외부감사인</t>
    <phoneticPr fontId="23" type="noConversion"/>
  </si>
  <si>
    <t>감사의견</t>
    <phoneticPr fontId="23" type="noConversion"/>
  </si>
  <si>
    <r>
      <rPr>
        <b/>
        <sz val="10"/>
        <color rgb="FF000000"/>
        <rFont val="맑은 고딕"/>
        <family val="3"/>
        <charset val="129"/>
      </rPr>
      <t>사업보고서</t>
    </r>
    <r>
      <rPr>
        <b/>
        <sz val="10"/>
        <color rgb="FF000000"/>
        <rFont val="Arial"/>
        <family val="2"/>
      </rPr>
      <t xml:space="preserve"> URL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</si>
  <si>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자료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조회일자</t>
    </r>
    <phoneticPr fontId="23" type="noConversion"/>
  </si>
  <si>
    <r>
      <rPr>
        <b/>
        <sz val="11"/>
        <color rgb="FF1F3864"/>
        <rFont val="맑은 고딕"/>
        <family val="3"/>
        <charset val="129"/>
      </rPr>
      <t>작성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예시</t>
    </r>
    <r>
      <rPr>
        <b/>
        <sz val="11"/>
        <color rgb="FF1F3864"/>
        <rFont val="Arial"/>
        <family val="2"/>
      </rPr>
      <t xml:space="preserve"> (</t>
    </r>
    <r>
      <rPr>
        <b/>
        <sz val="11"/>
        <color rgb="FF1F3864"/>
        <rFont val="맑은 고딕"/>
        <family val="3"/>
        <charset val="129"/>
      </rPr>
      <t>참고용</t>
    </r>
    <r>
      <rPr>
        <b/>
        <sz val="11"/>
        <color rgb="FF1F3864"/>
        <rFont val="Arial"/>
        <family val="2"/>
      </rPr>
      <t>)</t>
    </r>
    <phoneticPr fontId="23" type="noConversion"/>
  </si>
  <si>
    <r>
      <rPr>
        <b/>
        <sz val="11"/>
        <color rgb="FF1F3864"/>
        <rFont val="맑은 고딕"/>
        <family val="3"/>
        <charset val="129"/>
      </rPr>
      <t>비교기업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선정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사유</t>
    </r>
    <r>
      <rPr>
        <b/>
        <sz val="11"/>
        <color rgb="FF1F3864"/>
        <rFont val="Arial"/>
        <family val="2"/>
      </rPr>
      <t xml:space="preserve"> (3~5</t>
    </r>
    <r>
      <rPr>
        <b/>
        <sz val="11"/>
        <color rgb="FF1F3864"/>
        <rFont val="맑은 고딕"/>
        <family val="3"/>
        <charset val="129"/>
      </rPr>
      <t>줄</t>
    </r>
    <r>
      <rPr>
        <b/>
        <sz val="11"/>
        <color rgb="FF1F3864"/>
        <rFont val="Arial"/>
        <family val="2"/>
      </rPr>
      <t>)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</si>
  <si>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보고서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항목</t>
    </r>
    <phoneticPr fontId="23" type="noConversion"/>
  </si>
  <si>
    <t>대상기업</t>
    <phoneticPr fontId="23" type="noConversion"/>
  </si>
  <si>
    <t>비교기업</t>
    <phoneticPr fontId="23" type="noConversion"/>
  </si>
  <si>
    <r>
      <rPr>
        <b/>
        <sz val="10"/>
        <color rgb="FF000000"/>
        <rFont val="맑은 고딕"/>
        <family val="3"/>
        <charset val="129"/>
      </rPr>
      <t>산업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개요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및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시장규모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</si>
  <si>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산업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경쟁현황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경쟁사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점유율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</si>
  <si>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제조상품</t>
    </r>
    <r>
      <rPr>
        <b/>
        <sz val="10"/>
        <color rgb="FF000000"/>
        <rFont val="Arial"/>
        <family val="2"/>
      </rPr>
      <t xml:space="preserve"> / </t>
    </r>
    <r>
      <rPr>
        <b/>
        <sz val="10"/>
        <color rgb="FF000000"/>
        <rFont val="맑은 고딕"/>
        <family val="3"/>
        <charset val="129"/>
      </rPr>
      <t>서비스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</si>
  <si>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매출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구성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제품별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지역별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비중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</si>
  <si>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기업지배구조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지분구조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이사회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</si>
  <si>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경영자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대표이사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이력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경영전략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</si>
  <si>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회계감사인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및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감사의견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</si>
  <si>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최근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맑은 고딕"/>
        <family val="3"/>
        <charset val="129"/>
      </rPr>
      <t>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이슈</t>
    </r>
    <r>
      <rPr>
        <b/>
        <sz val="10"/>
        <color rgb="FF000000"/>
        <rFont val="Arial"/>
        <family val="2"/>
      </rPr>
      <t xml:space="preserve"> (M&amp;A, </t>
    </r>
    <r>
      <rPr>
        <b/>
        <sz val="10"/>
        <color rgb="FF000000"/>
        <rFont val="맑은 고딕"/>
        <family val="3"/>
        <charset val="129"/>
      </rPr>
      <t>소송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맑은 고딕"/>
        <family val="3"/>
        <charset val="129"/>
      </rPr>
      <t>규제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등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</si>
  <si>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투자포인트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강점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</si>
  <si>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투자위험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약점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리스크</t>
    </r>
    <r>
      <rPr>
        <b/>
        <sz val="10"/>
        <color rgb="FF000000"/>
        <rFont val="Arial"/>
        <family val="2"/>
      </rPr>
      <t>)</t>
    </r>
    <phoneticPr fontId="23" type="noConversion"/>
  </si>
  <si>
    <t>구분</t>
    <phoneticPr fontId="23" type="noConversion"/>
  </si>
  <si>
    <r>
      <rPr>
        <sz val="10"/>
        <color rgb="FF000000"/>
        <rFont val="맑은 고딕"/>
        <family val="3"/>
        <charset val="129"/>
      </rPr>
      <t>대상기업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사업보고서</t>
    </r>
    <phoneticPr fontId="23" type="noConversion"/>
  </si>
  <si>
    <r>
      <rPr>
        <sz val="10"/>
        <color rgb="FF000000"/>
        <rFont val="맑은 고딕"/>
        <family val="3"/>
        <charset val="129"/>
      </rPr>
      <t>비교기업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사업보고서</t>
    </r>
    <phoneticPr fontId="23" type="noConversion"/>
  </si>
  <si>
    <r>
      <rPr>
        <sz val="10"/>
        <color rgb="FF000000"/>
        <rFont val="맑은 고딕"/>
        <family val="3"/>
        <charset val="129"/>
      </rPr>
      <t>산업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통계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협회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자료</t>
    </r>
    <phoneticPr fontId="23" type="noConversion"/>
  </si>
  <si>
    <r>
      <rPr>
        <sz val="10"/>
        <color rgb="FF000000"/>
        <rFont val="맑은 고딕"/>
        <family val="3"/>
        <charset val="129"/>
      </rPr>
      <t>증권사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리포트</t>
    </r>
    <phoneticPr fontId="23" type="noConversion"/>
  </si>
  <si>
    <t>기타</t>
    <phoneticPr fontId="23" type="noConversion"/>
  </si>
  <si>
    <r>
      <rPr>
        <b/>
        <sz val="10"/>
        <color rgb="FFFFFFFF"/>
        <rFont val="맑은 고딕"/>
        <family val="3"/>
        <charset val="129"/>
      </rPr>
      <t>출처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맑은 고딕"/>
        <family val="3"/>
        <charset val="129"/>
      </rPr>
      <t>문서명</t>
    </r>
    <r>
      <rPr>
        <b/>
        <sz val="10"/>
        <color rgb="FFFFFFFF"/>
        <rFont val="Arial"/>
        <family val="2"/>
      </rPr>
      <t xml:space="preserve"> · </t>
    </r>
    <r>
      <rPr>
        <b/>
        <sz val="10"/>
        <color rgb="FFFFFFFF"/>
        <rFont val="맑은 고딕"/>
        <family val="3"/>
        <charset val="129"/>
      </rPr>
      <t>페이지</t>
    </r>
    <r>
      <rPr>
        <b/>
        <sz val="10"/>
        <color rgb="FFFFFFFF"/>
        <rFont val="Arial"/>
        <family val="2"/>
      </rPr>
      <t xml:space="preserve"> · URL)</t>
    </r>
    <phoneticPr fontId="23" type="noConversion"/>
  </si>
  <si>
    <t>조회일자</t>
    <phoneticPr fontId="23" type="noConversion"/>
  </si>
  <si>
    <r>
      <rPr>
        <b/>
        <sz val="11"/>
        <color rgb="FF1F3864"/>
        <rFont val="맑은 고딕"/>
        <family val="3"/>
        <charset val="129"/>
      </rPr>
      <t>해석</t>
    </r>
    <r>
      <rPr>
        <b/>
        <sz val="11"/>
        <color rgb="FF1F3864"/>
        <rFont val="Arial"/>
        <family val="2"/>
      </rPr>
      <t xml:space="preserve"> (5</t>
    </r>
    <r>
      <rPr>
        <b/>
        <sz val="11"/>
        <color rgb="FF1F3864"/>
        <rFont val="맑은 고딕"/>
        <family val="3"/>
        <charset val="129"/>
      </rPr>
      <t>줄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내외</t>
    </r>
    <r>
      <rPr>
        <b/>
        <sz val="11"/>
        <color rgb="FF1F3864"/>
        <rFont val="Arial"/>
        <family val="2"/>
      </rPr>
      <t xml:space="preserve">) : </t>
    </r>
    <r>
      <rPr>
        <b/>
        <sz val="11"/>
        <color rgb="FF1F3864"/>
        <rFont val="맑은 고딕"/>
        <family val="3"/>
        <charset val="129"/>
      </rPr>
      <t>대상기업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주가는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시장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대비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어떠했는가</t>
    </r>
    <r>
      <rPr>
        <b/>
        <sz val="11"/>
        <color rgb="FF1F3864"/>
        <rFont val="Arial"/>
        <family val="2"/>
      </rPr>
      <t xml:space="preserve">? </t>
    </r>
    <r>
      <rPr>
        <b/>
        <sz val="11"/>
        <color rgb="FF1F3864"/>
        <rFont val="맑은 고딕"/>
        <family val="3"/>
        <charset val="129"/>
      </rPr>
      <t>그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원인은</t>
    </r>
    <r>
      <rPr>
        <b/>
        <sz val="11"/>
        <color rgb="FF1F3864"/>
        <rFont val="Arial"/>
        <family val="2"/>
      </rPr>
      <t>?</t>
    </r>
    <phoneticPr fontId="23" type="noConversion"/>
  </si>
  <si>
    <t>연월</t>
    <phoneticPr fontId="23" type="noConversion"/>
  </si>
  <si>
    <r>
      <rPr>
        <b/>
        <sz val="10"/>
        <color rgb="FFFFFFFF"/>
        <rFont val="맑은 고딕"/>
        <family val="3"/>
        <charset val="129"/>
      </rPr>
      <t>대상기업
종가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맑은 고딕"/>
        <family val="3"/>
        <charset val="129"/>
      </rPr>
      <t>원</t>
    </r>
    <r>
      <rPr>
        <b/>
        <sz val="10"/>
        <color rgb="FFFFFFFF"/>
        <rFont val="Arial"/>
        <family val="2"/>
      </rPr>
      <t>)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</si>
  <si>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비교기업
종가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맑은 고딕"/>
        <family val="3"/>
        <charset val="129"/>
      </rPr>
      <t>원</t>
    </r>
    <r>
      <rPr>
        <b/>
        <sz val="10"/>
        <color rgb="FFFFFFFF"/>
        <rFont val="Arial"/>
        <family val="2"/>
      </rPr>
      <t>)</t>
    </r>
    <phoneticPr fontId="23" type="noConversion"/>
  </si>
  <si>
    <t>KOSPI</t>
    <phoneticPr fontId="23" type="noConversion"/>
  </si>
  <si>
    <t>대상
월수익률</t>
    <phoneticPr fontId="23" type="noConversion"/>
  </si>
  <si>
    <t>비교
월수익률</t>
    <phoneticPr fontId="23" type="noConversion"/>
  </si>
  <si>
    <t>KOSPI
월수익률</t>
    <phoneticPr fontId="23" type="noConversion"/>
  </si>
  <si>
    <r>
      <rPr>
        <b/>
        <sz val="10"/>
        <color rgb="FFFFFFFF"/>
        <rFont val="맑은 고딕"/>
        <family val="3"/>
        <charset val="129"/>
      </rPr>
      <t>대상
지수</t>
    </r>
    <r>
      <rPr>
        <b/>
        <sz val="10"/>
        <color rgb="FFFFFFFF"/>
        <rFont val="Arial"/>
        <family val="2"/>
      </rPr>
      <t>(100)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</si>
  <si>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비교
지수</t>
    </r>
    <r>
      <rPr>
        <b/>
        <sz val="10"/>
        <color rgb="FFFFFFFF"/>
        <rFont val="Arial"/>
        <family val="2"/>
      </rPr>
      <t>(100)</t>
    </r>
    <phoneticPr fontId="23" type="noConversion"/>
  </si>
  <si>
    <t>KOSPI
지수(100)</t>
    <phoneticPr fontId="23" type="noConversion"/>
  </si>
  <si>
    <r>
      <rPr>
        <b/>
        <sz val="10"/>
        <color rgb="FFFFFFFF"/>
        <rFont val="맑은 고딕"/>
        <family val="3"/>
        <charset val="129"/>
      </rPr>
      <t>계정과목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맑은 고딕"/>
        <family val="3"/>
        <charset val="129"/>
      </rPr>
      <t>단위</t>
    </r>
    <r>
      <rPr>
        <b/>
        <sz val="10"/>
        <color rgb="FFFFFFFF"/>
        <rFont val="Arial"/>
        <family val="2"/>
      </rPr>
      <t xml:space="preserve">: </t>
    </r>
    <r>
      <rPr>
        <b/>
        <sz val="10"/>
        <color rgb="FFFFFFFF"/>
        <rFont val="맑은 고딕"/>
        <family val="3"/>
        <charset val="129"/>
      </rPr>
      <t>백만원</t>
    </r>
    <r>
      <rPr>
        <b/>
        <sz val="10"/>
        <color rgb="FFFFFFFF"/>
        <rFont val="Arial"/>
        <family val="2"/>
      </rPr>
      <t>)</t>
    </r>
    <phoneticPr fontId="23" type="noConversion"/>
  </si>
  <si>
    <r>
      <t>&lt; 재무상태표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&gt;</t>
    </r>
    <phoneticPr fontId="23" type="noConversion"/>
  </si>
  <si>
    <t>유동자산</t>
    <phoneticPr fontId="23" type="noConversion"/>
  </si>
  <si>
    <t>비유동자산</t>
    <phoneticPr fontId="23" type="noConversion"/>
  </si>
  <si>
    <t>자산총계</t>
    <phoneticPr fontId="23" type="noConversion"/>
  </si>
  <si>
    <t>유동부채</t>
    <phoneticPr fontId="23" type="noConversion"/>
  </si>
  <si>
    <t>비유동부채</t>
    <phoneticPr fontId="23" type="noConversion"/>
  </si>
  <si>
    <t>부채총계</t>
    <phoneticPr fontId="23" type="noConversion"/>
  </si>
  <si>
    <t>자본금</t>
    <phoneticPr fontId="23" type="noConversion"/>
  </si>
  <si>
    <t>이익잉여금</t>
    <phoneticPr fontId="23" type="noConversion"/>
  </si>
  <si>
    <t>자본총계</t>
    <phoneticPr fontId="23" type="noConversion"/>
  </si>
  <si>
    <r>
      <t>&lt; 손익계산서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&gt;</t>
    </r>
    <phoneticPr fontId="23" type="noConversion"/>
  </si>
  <si>
    <t>매출액</t>
    <phoneticPr fontId="23" type="noConversion"/>
  </si>
  <si>
    <t>매출원가</t>
    <phoneticPr fontId="23" type="noConversion"/>
  </si>
  <si>
    <t>매출총이익</t>
    <phoneticPr fontId="23" type="noConversion"/>
  </si>
  <si>
    <t>판매비와관리비</t>
    <phoneticPr fontId="23" type="noConversion"/>
  </si>
  <si>
    <t>영업이익</t>
    <phoneticPr fontId="23" type="noConversion"/>
  </si>
  <si>
    <t>법인세비용차감전순이익</t>
    <phoneticPr fontId="23" type="noConversion"/>
  </si>
  <si>
    <t>법인세비용</t>
    <phoneticPr fontId="23" type="noConversion"/>
  </si>
  <si>
    <t>당기순이익</t>
    <phoneticPr fontId="23" type="noConversion"/>
  </si>
  <si>
    <r>
      <t>&lt; 현금흐름표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&gt;</t>
    </r>
    <phoneticPr fontId="23" type="noConversion"/>
  </si>
  <si>
    <t>영업활동현금흐름</t>
    <phoneticPr fontId="23" type="noConversion"/>
  </si>
  <si>
    <t>투자활동현금흐름</t>
    <phoneticPr fontId="23" type="noConversion"/>
  </si>
  <si>
    <t>재무활동현금흐름</t>
    <phoneticPr fontId="23" type="noConversion"/>
  </si>
  <si>
    <r>
      <rPr>
        <sz val="10"/>
        <color rgb="FF000000"/>
        <rFont val="맑은 고딕"/>
        <family val="3"/>
        <charset val="129"/>
      </rPr>
      <t>현금및현금성자산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기말잔액</t>
    </r>
    <phoneticPr fontId="23" type="noConversion"/>
  </si>
  <si>
    <r>
      <rPr>
        <b/>
        <sz val="10"/>
        <color rgb="FFC00000"/>
        <rFont val="맑은 고딕"/>
        <family val="3"/>
        <charset val="129"/>
      </rPr>
      <t>검증</t>
    </r>
    <r>
      <rPr>
        <b/>
        <sz val="10"/>
        <color rgb="FFC00000"/>
        <rFont val="Arial"/>
        <family val="2"/>
      </rPr>
      <t xml:space="preserve">: </t>
    </r>
    <r>
      <rPr>
        <b/>
        <sz val="10"/>
        <color rgb="FFC00000"/>
        <rFont val="맑은 고딕"/>
        <family val="3"/>
        <charset val="129"/>
      </rPr>
      <t>자산총계</t>
    </r>
    <r>
      <rPr>
        <b/>
        <sz val="10"/>
        <color rgb="FFC00000"/>
        <rFont val="Arial"/>
        <family val="2"/>
      </rPr>
      <t xml:space="preserve"> = </t>
    </r>
    <r>
      <rPr>
        <b/>
        <sz val="10"/>
        <color rgb="FFC00000"/>
        <rFont val="맑은 고딕"/>
        <family val="3"/>
        <charset val="129"/>
      </rPr>
      <t>부채총계</t>
    </r>
    <r>
      <rPr>
        <b/>
        <sz val="10"/>
        <color rgb="FFC00000"/>
        <rFont val="Arial"/>
        <family val="2"/>
      </rPr>
      <t xml:space="preserve"> + </t>
    </r>
    <r>
      <rPr>
        <b/>
        <sz val="10"/>
        <color rgb="FFC00000"/>
        <rFont val="맑은 고딕"/>
        <family val="3"/>
        <charset val="129"/>
      </rPr>
      <t>자본총계</t>
    </r>
    <phoneticPr fontId="23" type="noConversion"/>
  </si>
  <si>
    <r>
      <t>SK</t>
    </r>
    <r>
      <rPr>
        <b/>
        <sz val="10"/>
        <color rgb="FFFFFFFF"/>
        <rFont val="맑은 고딕"/>
        <family val="3"/>
        <charset val="129"/>
      </rPr>
      <t>하이닉스</t>
    </r>
    <r>
      <rPr>
        <b/>
        <sz val="10"/>
        <color rgb="FFFFFFFF"/>
        <rFont val="Noto Sans CJK SC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제</t>
    </r>
    <r>
      <rPr>
        <b/>
        <sz val="10"/>
        <color rgb="FFFFFFFF"/>
        <rFont val="Noto Sans CJK SC"/>
        <family val="2"/>
      </rPr>
      <t>78</t>
    </r>
    <r>
      <rPr>
        <b/>
        <sz val="10"/>
        <color rgb="FFFFFFFF"/>
        <rFont val="맑은 고딕"/>
        <family val="3"/>
        <charset val="129"/>
      </rPr>
      <t>기</t>
    </r>
    <r>
      <rPr>
        <b/>
        <sz val="10"/>
        <color rgb="FFFFFFFF"/>
        <rFont val="Noto Sans CJK SC"/>
        <family val="2"/>
      </rPr>
      <t xml:space="preserve">(2023~2025) · </t>
    </r>
    <r>
      <rPr>
        <b/>
        <sz val="10"/>
        <color rgb="FFFFFFFF"/>
        <rFont val="맑은 고딕"/>
        <family val="3"/>
        <charset val="129"/>
      </rPr>
      <t>제</t>
    </r>
    <r>
      <rPr>
        <b/>
        <sz val="10"/>
        <color rgb="FFFFFFFF"/>
        <rFont val="Noto Sans CJK SC"/>
        <family val="2"/>
      </rPr>
      <t>76</t>
    </r>
    <r>
      <rPr>
        <b/>
        <sz val="10"/>
        <color rgb="FFFFFFFF"/>
        <rFont val="맑은 고딕"/>
        <family val="3"/>
        <charset val="129"/>
      </rPr>
      <t>기</t>
    </r>
    <r>
      <rPr>
        <b/>
        <sz val="10"/>
        <color rgb="FFFFFFFF"/>
        <rFont val="Noto Sans CJK SC"/>
        <family val="2"/>
      </rPr>
      <t xml:space="preserve">(2021~2022) </t>
    </r>
    <r>
      <rPr>
        <b/>
        <sz val="10"/>
        <color rgb="FFFFFFFF"/>
        <rFont val="맑은 고딕"/>
        <family val="3"/>
        <charset val="129"/>
      </rPr>
      <t>사업보고서</t>
    </r>
    <r>
      <rPr>
        <b/>
        <sz val="10"/>
        <color rgb="FFFFFFFF"/>
        <rFont val="Noto Sans CJK SC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연결재무제표</t>
    </r>
    <phoneticPr fontId="23" type="noConversion"/>
  </si>
  <si>
    <r>
      <rPr>
        <sz val="10"/>
        <color rgb="FF0000FF"/>
        <rFont val="맑은 고딕"/>
        <family val="3"/>
        <charset val="129"/>
      </rPr>
      <t>연결재무상태표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유동자산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계</t>
    </r>
    <phoneticPr fontId="23" type="noConversion"/>
  </si>
  <si>
    <r>
      <rPr>
        <sz val="10"/>
        <color rgb="FF0000FF"/>
        <rFont val="맑은 고딕"/>
        <family val="3"/>
        <charset val="129"/>
      </rPr>
      <t>연결포괄손익계산서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매출액</t>
    </r>
    <phoneticPr fontId="23" type="noConversion"/>
  </si>
  <si>
    <r>
      <rPr>
        <sz val="10"/>
        <color rgb="FF0000FF"/>
        <rFont val="맑은 고딕"/>
        <family val="3"/>
        <charset val="129"/>
      </rPr>
      <t>연결현금흐름표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영업활동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</si>
  <si>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삼성전자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제</t>
    </r>
    <r>
      <rPr>
        <b/>
        <sz val="10"/>
        <color rgb="FFFFFFFF"/>
        <rFont val="Arial"/>
        <family val="2"/>
      </rPr>
      <t>57</t>
    </r>
    <r>
      <rPr>
        <b/>
        <sz val="10"/>
        <color rgb="FFFFFFFF"/>
        <rFont val="맑은 고딕"/>
        <family val="3"/>
        <charset val="129"/>
      </rPr>
      <t>기</t>
    </r>
    <r>
      <rPr>
        <b/>
        <sz val="10"/>
        <color rgb="FFFFFFFF"/>
        <rFont val="Arial"/>
        <family val="2"/>
      </rPr>
      <t xml:space="preserve">(2023~2025) · </t>
    </r>
    <r>
      <rPr>
        <b/>
        <sz val="10"/>
        <color rgb="FFFFFFFF"/>
        <rFont val="맑은 고딕"/>
        <family val="3"/>
        <charset val="129"/>
      </rPr>
      <t>제</t>
    </r>
    <r>
      <rPr>
        <b/>
        <sz val="10"/>
        <color rgb="FFFFFFFF"/>
        <rFont val="Arial"/>
        <family val="2"/>
      </rPr>
      <t>55</t>
    </r>
    <r>
      <rPr>
        <b/>
        <sz val="10"/>
        <color rgb="FFFFFFFF"/>
        <rFont val="맑은 고딕"/>
        <family val="3"/>
        <charset val="129"/>
      </rPr>
      <t>기</t>
    </r>
    <r>
      <rPr>
        <b/>
        <sz val="10"/>
        <color rgb="FFFFFFFF"/>
        <rFont val="Arial"/>
        <family val="2"/>
      </rPr>
      <t xml:space="preserve">(2021~2022) </t>
    </r>
    <r>
      <rPr>
        <b/>
        <sz val="10"/>
        <color rgb="FFFFFFFF"/>
        <rFont val="맑은 고딕"/>
        <family val="3"/>
        <charset val="129"/>
      </rPr>
      <t>사업보고서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연결재무제표</t>
    </r>
    <phoneticPr fontId="23" type="noConversion"/>
  </si>
  <si>
    <r>
      <rPr>
        <b/>
        <sz val="11"/>
        <color rgb="FF1F3864"/>
        <rFont val="맑은 고딕"/>
        <family val="3"/>
        <charset val="129"/>
      </rPr>
      <t>적용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기준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메모</t>
    </r>
    <phoneticPr fontId="23" type="noConversion"/>
  </si>
  <si>
    <r>
      <rPr>
        <sz val="10"/>
        <color rgb="FF000000"/>
        <rFont val="맑은 고딕"/>
        <family val="3"/>
        <charset val="129"/>
      </rPr>
      <t>연결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별도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여부</t>
    </r>
    <phoneticPr fontId="23" type="noConversion"/>
  </si>
  <si>
    <r>
      <rPr>
        <sz val="10"/>
        <color rgb="FF000000"/>
        <rFont val="맑은 고딕"/>
        <family val="3"/>
        <charset val="129"/>
      </rPr>
      <t>회계기준</t>
    </r>
    <r>
      <rPr>
        <sz val="10"/>
        <color rgb="FF000000"/>
        <rFont val="Arial"/>
        <family val="2"/>
      </rPr>
      <t xml:space="preserve"> (K-IFRS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>)</t>
    </r>
    <phoneticPr fontId="23" type="noConversion"/>
  </si>
  <si>
    <t>결산월</t>
    <phoneticPr fontId="23" type="noConversion"/>
  </si>
  <si>
    <r>
      <rPr>
        <sz val="10"/>
        <color rgb="FF000000"/>
        <rFont val="맑은 고딕"/>
        <family val="3"/>
        <charset val="129"/>
      </rPr>
      <t>단위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환산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유의사항</t>
    </r>
    <phoneticPr fontId="23" type="noConversion"/>
  </si>
  <si>
    <r>
      <t>[과제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1"/>
        <charset val="129"/>
      </rPr>
      <t>③</t>
    </r>
    <r>
      <rPr>
        <b/>
        <sz val="16"/>
        <color rgb="FF1F3864"/>
        <rFont val="맑은 고딕"/>
        <family val="3"/>
        <charset val="129"/>
      </rPr>
      <t>] 증권사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애널리스트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보고서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vs 신용평가기관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보고서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</si>
  <si>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증권사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애널리스트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보고서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</si>
  <si>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신용평가기관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보고서</t>
    </r>
    <phoneticPr fontId="23" type="noConversion"/>
  </si>
  <si>
    <r>
      <rPr>
        <b/>
        <sz val="10"/>
        <color rgb="FFFFFFFF"/>
        <rFont val="맑은 고딕"/>
        <family val="3"/>
        <charset val="129"/>
      </rPr>
      <t>비교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항목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</si>
  <si>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보고서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제목</t>
    </r>
    <r>
      <rPr>
        <b/>
        <sz val="10"/>
        <color rgb="FF000000"/>
        <rFont val="Arial"/>
        <family val="2"/>
      </rPr>
      <t xml:space="preserve"> · </t>
    </r>
    <r>
      <rPr>
        <b/>
        <sz val="10"/>
        <color rgb="FF000000"/>
        <rFont val="맑은 고딕"/>
        <family val="3"/>
        <charset val="129"/>
      </rPr>
      <t>발행기관</t>
    </r>
    <r>
      <rPr>
        <b/>
        <sz val="10"/>
        <color rgb="FF000000"/>
        <rFont val="Arial"/>
        <family val="2"/>
      </rPr>
      <t xml:space="preserve"> · </t>
    </r>
    <r>
      <rPr>
        <b/>
        <sz val="10"/>
        <color rgb="FF000000"/>
        <rFont val="맑은 고딕"/>
        <family val="3"/>
        <charset val="129"/>
      </rPr>
      <t>발행일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</si>
  <si>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주된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이용자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누구를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위해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쓰였는가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</si>
  <si>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분석의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초점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수익성</t>
    </r>
    <r>
      <rPr>
        <b/>
        <sz val="10"/>
        <color rgb="FF000000"/>
        <rFont val="Arial"/>
        <family val="2"/>
      </rPr>
      <t xml:space="preserve"> / </t>
    </r>
    <r>
      <rPr>
        <b/>
        <sz val="10"/>
        <color rgb="FF000000"/>
        <rFont val="맑은 고딕"/>
        <family val="3"/>
        <charset val="129"/>
      </rPr>
      <t>상환능력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</si>
  <si>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결론의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형태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맑은 고딕"/>
        <family val="3"/>
        <charset val="129"/>
      </rPr>
      <t>투자의견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맑은 고딕"/>
        <family val="3"/>
        <charset val="129"/>
      </rPr>
      <t>목표주가</t>
    </r>
    <r>
      <rPr>
        <b/>
        <sz val="10"/>
        <color rgb="FF000000"/>
        <rFont val="Arial"/>
        <family val="2"/>
      </rPr>
      <t xml:space="preserve"> / </t>
    </r>
    <r>
      <rPr>
        <b/>
        <sz val="10"/>
        <color rgb="FF000000"/>
        <rFont val="맑은 고딕"/>
        <family val="3"/>
        <charset val="129"/>
      </rPr>
      <t>신용등급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</si>
  <si>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비재무정보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활용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정도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</si>
  <si>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중점적으로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재무지표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</si>
  <si>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예측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기간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</si>
  <si>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낙관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맑은 고딕"/>
        <family val="3"/>
        <charset val="129"/>
      </rPr>
      <t>보수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정도에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대한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인상</t>
    </r>
    <phoneticPr fontId="23" type="noConversion"/>
  </si>
  <si>
    <r>
      <rPr>
        <b/>
        <sz val="11"/>
        <color rgb="FF1F3864"/>
        <rFont val="맑은 고딕"/>
        <family val="3"/>
        <charset val="129"/>
      </rPr>
      <t>왜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두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보고서의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결론이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다른가</t>
    </r>
    <r>
      <rPr>
        <b/>
        <sz val="11"/>
        <color rgb="FF1F3864"/>
        <rFont val="Arial"/>
        <family val="2"/>
      </rPr>
      <t>? (10</t>
    </r>
    <r>
      <rPr>
        <b/>
        <sz val="11"/>
        <color rgb="FF1F3864"/>
        <rFont val="맑은 고딕"/>
        <family val="3"/>
        <charset val="129"/>
      </rPr>
      <t>줄</t>
    </r>
    <r>
      <rPr>
        <b/>
        <sz val="11"/>
        <color rgb="FF1F3864"/>
        <rFont val="Arial"/>
        <family val="2"/>
      </rPr>
      <t xml:space="preserve"> </t>
    </r>
    <r>
      <rPr>
        <b/>
        <sz val="11"/>
        <color rgb="FF1F3864"/>
        <rFont val="맑은 고딕"/>
        <family val="3"/>
        <charset val="129"/>
      </rPr>
      <t>내외</t>
    </r>
    <r>
      <rPr>
        <b/>
        <sz val="11"/>
        <color rgb="FF1F3864"/>
        <rFont val="Arial"/>
        <family val="2"/>
      </rPr>
      <t>)</t>
    </r>
    <phoneticPr fontId="23" type="noConversion"/>
  </si>
  <si>
    <r>
      <rPr>
        <b/>
        <sz val="16"/>
        <color rgb="FF1F3864"/>
        <rFont val="맑은 고딕"/>
        <family val="3"/>
        <charset val="129"/>
      </rPr>
      <t>제출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전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체크리스트</t>
    </r>
    <phoneticPr fontId="23" type="noConversion"/>
  </si>
  <si>
    <t>구분</t>
    <phoneticPr fontId="23" type="noConversion"/>
  </si>
  <si>
    <r>
      <rPr>
        <b/>
        <sz val="10"/>
        <color rgb="FFFFFFFF"/>
        <rFont val="맑은 고딕"/>
        <family val="3"/>
        <charset val="129"/>
      </rPr>
      <t>점검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항목</t>
    </r>
    <phoneticPr fontId="23" type="noConversion"/>
  </si>
  <si>
    <t>완료</t>
    <phoneticPr fontId="23" type="noConversion"/>
  </si>
  <si>
    <t>과제①</t>
    <phoneticPr fontId="23" type="noConversion"/>
  </si>
  <si>
    <t>과제②</t>
    <phoneticPr fontId="23" type="noConversion"/>
  </si>
  <si>
    <t>과제④</t>
    <phoneticPr fontId="23" type="noConversion"/>
  </si>
  <si>
    <t>과제③</t>
    <phoneticPr fontId="23" type="noConversion"/>
  </si>
  <si>
    <t>과제⑤</t>
    <phoneticPr fontId="23" type="noConversion"/>
  </si>
  <si>
    <t>공통</t>
    <phoneticPr fontId="23" type="noConversion"/>
  </si>
  <si>
    <r>
      <rPr>
        <sz val="10"/>
        <color rgb="FF000000"/>
        <rFont val="맑은 고딕"/>
        <family val="3"/>
        <charset val="129"/>
      </rPr>
      <t>대상기업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비교기업을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사업보고서를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내려받았다</t>
    </r>
    <phoneticPr fontId="23" type="noConversion"/>
  </si>
  <si>
    <r>
      <rPr>
        <sz val="10"/>
        <color rgb="FF000000"/>
        <rFont val="맑은 고딕"/>
        <family val="3"/>
        <charset val="129"/>
      </rPr>
      <t>최소</t>
    </r>
    <r>
      <rPr>
        <sz val="10"/>
        <color rgb="FF000000"/>
        <rFont val="Arial"/>
        <family val="2"/>
      </rPr>
      <t xml:space="preserve"> 5</t>
    </r>
    <r>
      <rPr>
        <sz val="10"/>
        <color rgb="FF000000"/>
        <rFont val="맑은 고딕"/>
        <family val="3"/>
        <charset val="129"/>
      </rPr>
      <t>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회계정보가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공시되는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확인했다</t>
    </r>
    <phoneticPr fontId="23" type="noConversion"/>
  </si>
  <si>
    <r>
      <t>II. 사업의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개요'를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01·02 시트를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채웠다</t>
    </r>
    <phoneticPr fontId="23" type="noConversion"/>
  </si>
  <si>
    <r>
      <t>5개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요약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재무제표를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입력했고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검증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행이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OK다</t>
    </r>
    <phoneticPr fontId="23" type="noConversion"/>
  </si>
  <si>
    <r>
      <t>60개월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주가·KOSPI를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입력하고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지수화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그래프를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완성했다</t>
    </r>
    <phoneticPr fontId="23" type="noConversion"/>
  </si>
  <si>
    <r>
      <t>2장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분량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Chapter Report 초안을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작성했다</t>
    </r>
    <phoneticPr fontId="23" type="noConversion"/>
  </si>
  <si>
    <r>
      <rPr>
        <sz val="10"/>
        <color rgb="FF000000"/>
        <rFont val="맑은 고딕"/>
        <family val="3"/>
        <charset val="129"/>
      </rPr>
      <t>증권사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신용평가기관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보고서를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각각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확보해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비교했다</t>
    </r>
    <phoneticPr fontId="23" type="noConversion"/>
  </si>
  <si>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출처와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조회일자를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남겼다</t>
    </r>
    <phoneticPr fontId="23" type="noConversion"/>
  </si>
  <si>
    <r>
      <rPr>
        <sz val="10"/>
        <color rgb="FF000000"/>
        <rFont val="맑은 고딕"/>
        <family val="3"/>
        <charset val="129"/>
      </rPr>
      <t>숫자를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직접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타이핑한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연결했다</t>
    </r>
    <phoneticPr fontId="23" type="noConversion"/>
  </si>
  <si>
    <r>
      <rPr>
        <b/>
        <sz val="10"/>
        <color rgb="FF000000"/>
        <rFont val="맑은 고딕"/>
        <family val="3"/>
        <charset val="129"/>
      </rPr>
      <t>완료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항목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수</t>
    </r>
    <phoneticPr fontId="23" type="noConversion"/>
  </si>
  <si>
    <t>현대건설</t>
    <phoneticPr fontId="23" type="noConversion"/>
  </si>
  <si>
    <t>GS건설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</si>
</sst>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;\(0.0%\);\-"/>
    <numFmt numFmtId="177" formatCode="#,##0;\(#,##0\);\-"/>
    <numFmt numFmtId="178" formatCode="0.0%"/>
    <numFmt numFmtId="179" formatCode="0.0"/>
  </numFmts>
  <fonts count="45">
    <font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808080"/>
      <name val="Noto Sans CJK SC"/>
      <family val="2"/>
      <charset val="1"/>
    </font>
    <font>
      <b/>
      <sz val="11"/>
      <color rgb="FF1F3864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1F3864"/>
      <name val="맑은 고딕"/>
      <family val="3"/>
      <charset val="129"/>
    </font>
    <font>
      <b/>
      <sz val="16"/>
      <color rgb="FF1F3864"/>
      <name val="Noto Sans CJK SC"/>
      <family val="2"/>
    </font>
    <font>
      <sz val="9"/>
      <color rgb="FF808080"/>
      <name val="맑은 고딕"/>
      <family val="3"/>
      <charset val="129"/>
    </font>
    <font>
      <sz val="9"/>
      <color rgb="FF808080"/>
      <name val="Noto Sans CJK SC"/>
      <family val="2"/>
    </font>
    <font>
      <b/>
      <sz val="10"/>
      <color rgb="FF00000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3"/>
      <charset val="129"/>
    </font>
    <font>
      <sz val="9"/>
      <color rgb="FF595959"/>
      <name val="Noto Sans CJK SC"/>
      <family val="2"/>
      <charset val="1"/>
    </font>
    <font>
      <sz val="9"/>
      <color rgb="FF595959"/>
      <name val="맑은 고딕"/>
      <family val="3"/>
      <charset val="129"/>
    </font>
    <font>
      <sz val="1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1"/>
      <color theme="1"/>
      <name val="Noto Sans CJK SC"/>
      <family val="2"/>
      <charset val="1"/>
    </font>
    <font>
      <b/>
      <sz val="10"/>
      <color rgb="FFC00000"/>
      <name val="Noto Sans CJK SC"/>
      <family val="2"/>
      <charset val="1"/>
    </font>
    <font>
      <sz val="10"/>
      <color rgb="FF000000"/>
      <name val="Noto Sans CJK SC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굴림"/>
      <family val="3"/>
      <charset val="129"/>
    </font>
    <font>
      <b/>
      <sz val="16"/>
      <color rgb="FF1F3864"/>
      <name val="Noto Sans CJK SC"/>
      <family val="3"/>
      <charset val="129"/>
    </font>
    <font>
      <b/>
      <sz val="16"/>
      <color rgb="FF1F3864"/>
      <name val="Arial"/>
      <family val="2"/>
    </font>
    <font>
      <b/>
      <sz val="16"/>
      <color rgb="FF1F3864"/>
      <name val="Noto Sans CJK SC"/>
      <family val="2"/>
      <charset val="129"/>
    </font>
    <font>
      <b/>
      <sz val="11"/>
      <color rgb="FF1F3864"/>
      <name val="Noto Sans CJK SC"/>
      <family val="2"/>
    </font>
    <font>
      <b/>
      <sz val="11"/>
      <color rgb="FF1F3864"/>
      <name val="Segoe UI Symbol"/>
      <family val="2"/>
    </font>
    <font>
      <b/>
      <sz val="11"/>
      <color rgb="FF1F3864"/>
      <name val="맑은 고딕"/>
      <family val="3"/>
      <charset val="129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3"/>
      <charset val="129"/>
    </font>
    <font>
      <b/>
      <sz val="11"/>
      <color rgb="FF1F3864"/>
      <name val="Noto Sans CJK SC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C00000"/>
      <name val="Arial"/>
      <family val="2"/>
    </font>
    <font>
      <b/>
      <sz val="10"/>
      <color rgb="FFC00000"/>
      <name val="Noto Sans CJK SC"/>
      <family val="3"/>
      <charset val="129"/>
    </font>
    <font>
      <sz val="10"/>
      <color rgb="FF0000FF"/>
      <name val="Arial"/>
      <family val="2"/>
    </font>
    <font>
      <sz val="10"/>
      <color rgb="FF0000FF"/>
      <name val="Noto Sans CJK SC"/>
      <family val="3"/>
      <charset val="129"/>
    </font>
    <font>
      <b/>
      <sz val="16"/>
      <color rgb="FF1F3864"/>
      <name val="맑은 고딕"/>
      <family val="1"/>
      <charset val="129"/>
    </font>
    <font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13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3" fontId="14" fillId="5" borderId="1" xfId="0" applyNumberFormat="1" applyFont="1" applyFill="1" applyBorder="1" applyAlignment="1">
      <alignment vertical="top" wrapText="1"/>
    </xf>
    <xf numFmtId="0" fontId="15" fillId="2" borderId="1" xfId="0" applyFont="1" applyFill="1" applyBorder="1"/>
    <xf numFmtId="0" fontId="16" fillId="2" borderId="1" xfId="0" applyFont="1" applyFill="1" applyBorder="1"/>
    <xf numFmtId="0" fontId="18" fillId="3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4" fontId="14" fillId="5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14" fillId="6" borderId="1" xfId="0" applyNumberFormat="1" applyFont="1" applyFill="1" applyBorder="1" applyAlignment="1">
      <alignment horizontal="center" vertical="center"/>
    </xf>
    <xf numFmtId="0" fontId="20" fillId="0" borderId="0" xfId="0" applyFont="1"/>
    <xf numFmtId="177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2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26" fillId="0" borderId="0" xfId="0" applyFont="1"/>
    <xf numFmtId="0" fontId="11" fillId="0" borderId="0" xfId="0" applyFont="1"/>
    <xf numFmtId="0" fontId="29" fillId="0" borderId="0" xfId="0" applyFont="1"/>
    <xf numFmtId="0" fontId="22" fillId="2" borderId="1" xfId="0" applyFont="1" applyFill="1" applyBorder="1"/>
    <xf numFmtId="0" fontId="22" fillId="0" borderId="0" xfId="0" applyFont="1" applyAlignment="1">
      <alignment vertical="top" wrapText="1"/>
    </xf>
    <xf numFmtId="0" fontId="34" fillId="3" borderId="1" xfId="0" applyFont="1" applyFill="1" applyBorder="1" applyAlignment="1">
      <alignment horizontal="center" vertical="center" wrapText="1"/>
    </xf>
    <xf numFmtId="0" fontId="37" fillId="0" borderId="0" xfId="0" applyFont="1"/>
    <xf numFmtId="0" fontId="36" fillId="4" borderId="1" xfId="0" applyFont="1" applyFill="1" applyBorder="1" applyAlignment="1">
      <alignment vertical="top" wrapText="1"/>
    </xf>
    <xf numFmtId="0" fontId="22" fillId="0" borderId="1" xfId="0" applyFont="1" applyBorder="1"/>
    <xf numFmtId="0" fontId="7" fillId="0" borderId="1" xfId="0" applyFont="1" applyBorder="1"/>
    <xf numFmtId="0" fontId="40" fillId="0" borderId="1" xfId="0" applyFont="1" applyBorder="1"/>
    <xf numFmtId="0" fontId="42" fillId="5" borderId="1" xfId="0" applyFont="1" applyFill="1" applyBorder="1" applyAlignment="1">
      <alignment vertical="top" wrapText="1"/>
    </xf>
    <xf numFmtId="0" fontId="7" fillId="0" borderId="1" xfId="0" quotePrefix="1" applyFont="1" applyBorder="1" applyAlignment="1">
      <alignment vertical="top" wrapText="1"/>
    </xf>
    <xf numFmtId="0" fontId="36" fillId="0" borderId="1" xfId="0" applyFont="1" applyBorder="1"/>
    <xf numFmtId="0" fontId="6" fillId="4" borderId="1" xfId="0" applyFont="1" applyFill="1" applyBorder="1" applyAlignment="1">
      <alignment vertical="top"/>
    </xf>
    <xf numFmtId="0" fontId="36" fillId="4" borderId="1" xfId="0" applyFont="1" applyFill="1" applyBorder="1" applyAlignment="1">
      <alignment vertical="top"/>
    </xf>
    <xf numFmtId="0" fontId="13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3" fillId="5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대상기업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비교기업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KOSPI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상대주가 추이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시작월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'03_주가추이'!$J$13</c:f>
              <c:strCache>
                <c:ptCount val="1"/>
                <c:pt idx="0">
                  <c:v>대상
지수(100)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'03_주가추이'!$C$14:$C$73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'03_주가추이'!$J$14:$J$73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20-4387-96A5-365AD2BD5912}"/>
            </c:ext>
          </c:extLst>
        </c:ser>
        <c:ser>
          <c:idx val="1"/>
          <c:order val="1"/>
          <c:tx>
            <c:strRef>
              <c:f>'03_주가추이'!$K$13</c:f>
              <c:strCache>
                <c:ptCount val="1"/>
                <c:pt idx="0">
                  <c:v>비교
지수(100)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'03_주가추이'!$C$14:$C$73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'03_주가추이'!$K$14:$K$73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20-4387-96A5-365AD2BD5912}"/>
            </c:ext>
          </c:extLst>
        </c:ser>
        <c:ser>
          <c:idx val="2"/>
          <c:order val="2"/>
          <c:tx>
            <c:strRef>
              <c:f>'03_주가추이'!$L$13</c:f>
              <c:strCache>
                <c:ptCount val="1"/>
                <c:pt idx="0">
                  <c:v>KOSPI
지수(100)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'03_주가추이'!$C$14:$C$73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'03_주가추이'!$L$14:$L$73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E20-4387-96A5-365AD2BD5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305297"/>
        <c:axId val="29617548"/>
      </c:lineChart>
      <c:catAx>
        <c:axId val="98305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9617548"/>
        <c:crosses val="autoZero"/>
        <c:auto val="1"/>
        <c:lblAlgn val="ctr"/>
        <c:lblOffset val="100"/>
        <c:noMultiLvlLbl val="0"/>
      </c:catAx>
      <c:valAx>
        <c:axId val="29617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지수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시작월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83052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25560</xdr:rowOff>
    </xdr:from>
    <xdr:to>
      <xdr:col>27</xdr:col>
      <xdr:colOff>77760</xdr:colOff>
      <xdr:row>32</xdr:row>
      <xdr:rowOff>30682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97D9-BC16-437F-B05C-F333EA3ABC85}">
  <dimension ref="B1:D28"/>
  <sheetViews>
    <sheetView showGridLines="0" zoomScaleNormal="100" workbookViewId="0">
      <selection activeCell="H15" sqref="H15"/>
    </sheetView>
  </sheetViews>
  <sheetFormatPr defaultColWidth="8.7109375" defaultRowHeight="15"/>
  <cols>
    <col min="2" max="2" width="3" customWidth="1"/>
    <col min="3" max="3" width="24.5703125" customWidth="1"/>
    <col min="4" max="4" width="78" customWidth="1"/>
  </cols>
  <sheetData>
    <row r="1" spans="2:4" ht="26.25">
      <c r="B1" s="38" t="s">
        <v>143</v>
      </c>
    </row>
    <row r="2" spans="2:4">
      <c r="B2" s="39" t="s">
        <v>144</v>
      </c>
    </row>
    <row r="5" spans="2:4" ht="16.5">
      <c r="C5" s="40" t="s">
        <v>145</v>
      </c>
    </row>
    <row r="6" spans="2:4">
      <c r="C6" s="41" t="s">
        <v>146</v>
      </c>
      <c r="D6" s="37" t="s">
        <v>147</v>
      </c>
    </row>
    <row r="7" spans="2:4">
      <c r="C7" s="41" t="s">
        <v>148</v>
      </c>
      <c r="D7" s="37" t="s">
        <v>149</v>
      </c>
    </row>
    <row r="8" spans="2:4">
      <c r="C8" s="41" t="s">
        <v>150</v>
      </c>
      <c r="D8" s="37" t="s">
        <v>151</v>
      </c>
    </row>
    <row r="9" spans="2:4">
      <c r="C9" s="41" t="s">
        <v>152</v>
      </c>
      <c r="D9" s="37" t="s">
        <v>153</v>
      </c>
    </row>
    <row r="12" spans="2:4" ht="16.5">
      <c r="C12" s="40" t="s">
        <v>154</v>
      </c>
    </row>
    <row r="13" spans="2:4">
      <c r="C13" s="36" t="s">
        <v>0</v>
      </c>
      <c r="D13" s="36" t="s">
        <v>1</v>
      </c>
    </row>
    <row r="14" spans="2:4" ht="30" customHeight="1">
      <c r="C14" s="4" t="s">
        <v>129</v>
      </c>
      <c r="D14" s="5" t="s">
        <v>130</v>
      </c>
    </row>
    <row r="15" spans="2:4" ht="30" customHeight="1">
      <c r="C15" s="4" t="s">
        <v>131</v>
      </c>
      <c r="D15" s="5" t="s">
        <v>132</v>
      </c>
    </row>
    <row r="16" spans="2:4" ht="30" customHeight="1">
      <c r="C16" s="4" t="s">
        <v>133</v>
      </c>
      <c r="D16" s="5" t="s">
        <v>127</v>
      </c>
    </row>
    <row r="17" spans="3:4" ht="30" customHeight="1">
      <c r="C17" s="4" t="s">
        <v>134</v>
      </c>
      <c r="D17" s="5" t="s">
        <v>128</v>
      </c>
    </row>
    <row r="18" spans="3:4" ht="30" customHeight="1">
      <c r="C18" s="4" t="s">
        <v>135</v>
      </c>
      <c r="D18" s="5" t="s">
        <v>136</v>
      </c>
    </row>
    <row r="19" spans="3:4" ht="30" customHeight="1">
      <c r="C19" s="4" t="s">
        <v>137</v>
      </c>
      <c r="D19" s="5" t="s">
        <v>138</v>
      </c>
    </row>
    <row r="20" spans="3:4" ht="30" customHeight="1">
      <c r="C20" s="4" t="s">
        <v>139</v>
      </c>
      <c r="D20" s="5" t="s">
        <v>140</v>
      </c>
    </row>
    <row r="21" spans="3:4" ht="30" customHeight="1">
      <c r="C21" s="4" t="s">
        <v>141</v>
      </c>
      <c r="D21" s="37" t="s">
        <v>142</v>
      </c>
    </row>
    <row r="24" spans="3:4" ht="16.5">
      <c r="C24" s="40" t="s">
        <v>155</v>
      </c>
    </row>
    <row r="25" spans="3:4" ht="39.950000000000003" customHeight="1">
      <c r="C25" s="6" t="s">
        <v>2</v>
      </c>
      <c r="D25" s="42" t="s">
        <v>156</v>
      </c>
    </row>
    <row r="26" spans="3:4" ht="39.950000000000003" customHeight="1">
      <c r="C26" s="6" t="s">
        <v>2</v>
      </c>
      <c r="D26" s="42" t="s">
        <v>157</v>
      </c>
    </row>
    <row r="27" spans="3:4" ht="39.950000000000003" customHeight="1">
      <c r="C27" s="6" t="s">
        <v>2</v>
      </c>
      <c r="D27" s="42" t="s">
        <v>158</v>
      </c>
    </row>
    <row r="28" spans="3:4" ht="36" customHeight="1">
      <c r="C28" s="6" t="s">
        <v>2</v>
      </c>
      <c r="D28" s="42" t="s">
        <v>159</v>
      </c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7"/>
  <sheetViews>
    <sheetView showGridLines="0" tabSelected="1" zoomScaleNormal="100" workbookViewId="0">
      <selection activeCell="D7" sqref="D7"/>
    </sheetView>
  </sheetViews>
  <sheetFormatPr defaultColWidth="8.7109375" defaultRowHeight="15"/>
  <cols>
    <col min="2" max="2" width="3" customWidth="1"/>
    <col min="3" max="3" width="24" customWidth="1"/>
    <col min="4" max="5" width="30" customWidth="1"/>
    <col min="6" max="6" width="34" customWidth="1"/>
  </cols>
  <sheetData>
    <row r="1" spans="2:6" ht="24.75" customHeight="1">
      <c r="B1" s="7" t="s">
        <v>3</v>
      </c>
    </row>
    <row r="2" spans="2:6">
      <c r="B2" s="8" t="s">
        <v>4</v>
      </c>
    </row>
    <row r="4" spans="2:6" ht="15.75" customHeight="1">
      <c r="C4" s="16" t="s">
        <v>165</v>
      </c>
      <c r="D4" s="16" t="s">
        <v>162</v>
      </c>
      <c r="E4" s="16" t="s">
        <v>163</v>
      </c>
      <c r="F4" s="43" t="s">
        <v>164</v>
      </c>
    </row>
    <row r="5" spans="2:6" ht="19.5" customHeight="1">
      <c r="C5" s="52" t="s">
        <v>160</v>
      </c>
      <c r="D5" s="9" t="s">
        <v>283</v>
      </c>
      <c r="E5" s="9" t="s">
        <v>284</v>
      </c>
      <c r="F5" s="10" t="s">
        <v>5</v>
      </c>
    </row>
    <row r="6" spans="2:6" ht="19.5" customHeight="1">
      <c r="C6" s="52" t="s">
        <v>161</v>
      </c>
      <c r="D6" s="11"/>
      <c r="E6" s="11"/>
      <c r="F6" s="12" t="s">
        <v>7</v>
      </c>
    </row>
    <row r="7" spans="2:6" ht="19.5" customHeight="1">
      <c r="C7" s="52" t="s">
        <v>166</v>
      </c>
      <c r="D7" s="11"/>
      <c r="E7" s="11"/>
      <c r="F7" s="12" t="s">
        <v>10</v>
      </c>
    </row>
    <row r="8" spans="2:6" ht="32.25" customHeight="1">
      <c r="C8" s="52" t="s">
        <v>167</v>
      </c>
      <c r="D8" s="11"/>
      <c r="E8" s="11"/>
      <c r="F8" s="10" t="s">
        <v>11</v>
      </c>
    </row>
    <row r="9" spans="2:6" ht="39.75" customHeight="1">
      <c r="C9" s="53" t="s">
        <v>168</v>
      </c>
      <c r="D9" s="9"/>
      <c r="E9" s="9"/>
      <c r="F9" s="10" t="s">
        <v>13</v>
      </c>
    </row>
    <row r="10" spans="2:6" ht="29.25" customHeight="1">
      <c r="C10" s="53" t="s">
        <v>169</v>
      </c>
      <c r="D10" s="11"/>
      <c r="E10" s="11"/>
      <c r="F10" s="12" t="s">
        <v>14</v>
      </c>
    </row>
    <row r="11" spans="2:6" ht="19.5" customHeight="1">
      <c r="C11" s="53" t="s">
        <v>170</v>
      </c>
      <c r="D11" s="11"/>
      <c r="E11" s="11"/>
      <c r="F11" s="10" t="s">
        <v>15</v>
      </c>
    </row>
    <row r="12" spans="2:6" ht="19.5" customHeight="1">
      <c r="C12" s="53" t="s">
        <v>171</v>
      </c>
      <c r="D12" s="13"/>
      <c r="E12" s="13"/>
      <c r="F12" s="10" t="s">
        <v>17</v>
      </c>
    </row>
    <row r="13" spans="2:6" ht="19.5" customHeight="1">
      <c r="C13" s="53" t="s">
        <v>172</v>
      </c>
      <c r="D13" s="13"/>
      <c r="E13" s="13"/>
      <c r="F13" s="10" t="s">
        <v>18</v>
      </c>
    </row>
    <row r="14" spans="2:6" ht="19.5" customHeight="1">
      <c r="C14" s="53" t="s">
        <v>173</v>
      </c>
      <c r="D14" s="13"/>
      <c r="E14" s="13"/>
      <c r="F14" s="10" t="s">
        <v>19</v>
      </c>
    </row>
    <row r="15" spans="2:6" ht="35.25" customHeight="1">
      <c r="C15" s="53" t="s">
        <v>174</v>
      </c>
      <c r="D15" s="11"/>
      <c r="E15" s="9"/>
      <c r="F15" s="12" t="s">
        <v>20</v>
      </c>
    </row>
    <row r="16" spans="2:6" ht="27.75" customHeight="1">
      <c r="C16" s="52" t="s">
        <v>175</v>
      </c>
      <c r="D16" s="9"/>
      <c r="E16" s="9"/>
      <c r="F16" s="12" t="s">
        <v>21</v>
      </c>
    </row>
    <row r="17" spans="3:6" ht="19.5" customHeight="1">
      <c r="C17" s="52" t="s">
        <v>176</v>
      </c>
      <c r="D17" s="9"/>
      <c r="E17" s="9"/>
      <c r="F17" s="12" t="s">
        <v>22</v>
      </c>
    </row>
    <row r="18" spans="3:6" ht="19.5" customHeight="1">
      <c r="C18" s="52" t="s">
        <v>177</v>
      </c>
      <c r="D18" s="9"/>
      <c r="E18" s="9"/>
      <c r="F18" s="10" t="s">
        <v>23</v>
      </c>
    </row>
    <row r="19" spans="3:6" ht="39.75" customHeight="1">
      <c r="C19" s="53" t="s">
        <v>178</v>
      </c>
      <c r="D19" s="11"/>
      <c r="E19" s="11"/>
      <c r="F19" s="12" t="s">
        <v>24</v>
      </c>
    </row>
    <row r="20" spans="3:6" ht="19.5" customHeight="1">
      <c r="C20" s="53" t="s">
        <v>179</v>
      </c>
      <c r="D20" s="11"/>
      <c r="E20" s="11"/>
      <c r="F20" s="12" t="s">
        <v>25</v>
      </c>
    </row>
    <row r="22" spans="3:6" ht="16.5" customHeight="1">
      <c r="C22" s="44" t="s">
        <v>180</v>
      </c>
    </row>
    <row r="23" spans="3:6">
      <c r="C23" s="16" t="s">
        <v>165</v>
      </c>
      <c r="D23" s="16" t="s">
        <v>162</v>
      </c>
      <c r="E23" s="16" t="s">
        <v>163</v>
      </c>
      <c r="F23" s="3"/>
    </row>
    <row r="24" spans="3:6">
      <c r="C24" s="15" t="s">
        <v>160</v>
      </c>
      <c r="D24" s="14" t="s">
        <v>26</v>
      </c>
      <c r="E24" s="14" t="s">
        <v>27</v>
      </c>
      <c r="F24" s="14"/>
    </row>
    <row r="25" spans="3:6">
      <c r="C25" s="14" t="s">
        <v>6</v>
      </c>
      <c r="D25" s="15" t="s">
        <v>28</v>
      </c>
      <c r="E25" s="15" t="s">
        <v>29</v>
      </c>
      <c r="F25" s="14"/>
    </row>
    <row r="26" spans="3:6">
      <c r="C26" s="14" t="s">
        <v>8</v>
      </c>
      <c r="D26" s="15" t="s">
        <v>9</v>
      </c>
      <c r="E26" s="15" t="s">
        <v>9</v>
      </c>
      <c r="F26" s="14"/>
    </row>
    <row r="27" spans="3:6">
      <c r="C27" s="14" t="s">
        <v>12</v>
      </c>
      <c r="D27" s="14" t="s">
        <v>30</v>
      </c>
      <c r="E27" s="14" t="s">
        <v>30</v>
      </c>
      <c r="F27" s="14"/>
    </row>
    <row r="28" spans="3:6">
      <c r="C28" s="14" t="s">
        <v>16</v>
      </c>
      <c r="D28" s="15" t="s">
        <v>31</v>
      </c>
      <c r="E28" s="15" t="s">
        <v>32</v>
      </c>
      <c r="F28" s="14"/>
    </row>
    <row r="29" spans="3:6">
      <c r="C29" s="1" t="s">
        <v>33</v>
      </c>
    </row>
    <row r="32" spans="3:6" ht="16.5" customHeight="1">
      <c r="C32" s="44" t="s">
        <v>181</v>
      </c>
    </row>
    <row r="33" spans="3:6" ht="14.25" customHeight="1">
      <c r="C33" s="54"/>
      <c r="D33" s="54"/>
      <c r="E33" s="54"/>
      <c r="F33" s="54"/>
    </row>
    <row r="34" spans="3:6">
      <c r="C34" s="54"/>
      <c r="D34" s="54"/>
      <c r="E34" s="54"/>
      <c r="F34" s="54"/>
    </row>
    <row r="35" spans="3:6">
      <c r="C35" s="54"/>
      <c r="D35" s="54"/>
      <c r="E35" s="54"/>
      <c r="F35" s="54"/>
    </row>
    <row r="36" spans="3:6">
      <c r="C36" s="54"/>
      <c r="D36" s="54"/>
      <c r="E36" s="54"/>
      <c r="F36" s="54"/>
    </row>
    <row r="37" spans="3:6" ht="21" customHeight="1">
      <c r="C37" s="54"/>
      <c r="D37" s="54"/>
      <c r="E37" s="54"/>
      <c r="F37" s="54"/>
    </row>
  </sheetData>
  <mergeCells count="1">
    <mergeCell ref="C33:F37"/>
  </mergeCells>
  <phoneticPr fontId="2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showGridLines="0" topLeftCell="A9" zoomScaleNormal="100" workbookViewId="0">
      <selection activeCell="E28" sqref="E28:E29"/>
    </sheetView>
  </sheetViews>
  <sheetFormatPr defaultColWidth="8.7109375" defaultRowHeight="15"/>
  <cols>
    <col min="2" max="2" width="3" customWidth="1"/>
    <col min="3" max="3" width="38.42578125" customWidth="1"/>
    <col min="4" max="4" width="49.42578125" customWidth="1"/>
    <col min="5" max="5" width="51.85546875" customWidth="1"/>
  </cols>
  <sheetData>
    <row r="1" spans="2:5" ht="24.75" customHeight="1">
      <c r="B1" s="7" t="s">
        <v>34</v>
      </c>
    </row>
    <row r="2" spans="2:5">
      <c r="B2" s="1" t="s">
        <v>35</v>
      </c>
    </row>
    <row r="4" spans="2:5">
      <c r="C4" s="43" t="s">
        <v>182</v>
      </c>
      <c r="D4" s="16" t="s">
        <v>183</v>
      </c>
      <c r="E4" s="16" t="s">
        <v>184</v>
      </c>
    </row>
    <row r="5" spans="2:5" ht="78" customHeight="1">
      <c r="C5" s="45" t="s">
        <v>185</v>
      </c>
      <c r="D5" s="9"/>
      <c r="E5" s="9"/>
    </row>
    <row r="6" spans="2:5" ht="78" customHeight="1">
      <c r="C6" s="45" t="s">
        <v>186</v>
      </c>
      <c r="D6" s="11"/>
      <c r="E6" s="11"/>
    </row>
    <row r="7" spans="2:5" ht="78" customHeight="1">
      <c r="C7" s="45" t="s">
        <v>187</v>
      </c>
      <c r="D7" s="11"/>
      <c r="E7" s="11"/>
    </row>
    <row r="8" spans="2:5" ht="78" customHeight="1">
      <c r="C8" s="45" t="s">
        <v>188</v>
      </c>
      <c r="D8" s="9"/>
      <c r="E8" s="11"/>
    </row>
    <row r="9" spans="2:5" ht="78" customHeight="1">
      <c r="C9" s="45" t="s">
        <v>189</v>
      </c>
      <c r="D9" s="11"/>
      <c r="E9" s="9"/>
    </row>
    <row r="10" spans="2:5" ht="78" customHeight="1">
      <c r="C10" s="45" t="s">
        <v>190</v>
      </c>
      <c r="D10" s="9"/>
      <c r="E10" s="9"/>
    </row>
    <row r="11" spans="2:5" ht="78" customHeight="1">
      <c r="C11" s="45" t="s">
        <v>191</v>
      </c>
      <c r="D11" s="9"/>
      <c r="E11" s="9"/>
    </row>
    <row r="12" spans="2:5" ht="78" customHeight="1">
      <c r="C12" s="45" t="s">
        <v>192</v>
      </c>
      <c r="D12" s="11"/>
      <c r="E12" s="11"/>
    </row>
    <row r="13" spans="2:5" ht="78" customHeight="1">
      <c r="C13" s="45" t="s">
        <v>193</v>
      </c>
      <c r="D13" s="11"/>
      <c r="E13" s="9"/>
    </row>
    <row r="14" spans="2:5" ht="78" customHeight="1">
      <c r="C14" s="45" t="s">
        <v>194</v>
      </c>
      <c r="D14" s="9"/>
      <c r="E14" s="9"/>
    </row>
    <row r="17" spans="3:5">
      <c r="C17" s="2" t="s">
        <v>36</v>
      </c>
    </row>
    <row r="18" spans="3:5" ht="15.75" customHeight="1">
      <c r="C18" s="16" t="s">
        <v>195</v>
      </c>
      <c r="D18" s="43" t="s">
        <v>201</v>
      </c>
      <c r="E18" s="16" t="s">
        <v>202</v>
      </c>
    </row>
    <row r="19" spans="3:5" ht="15.75" customHeight="1">
      <c r="C19" s="46" t="s">
        <v>196</v>
      </c>
      <c r="D19" s="11"/>
      <c r="E19" s="11"/>
    </row>
    <row r="20" spans="3:5" ht="15.75" customHeight="1">
      <c r="C20" s="46" t="s">
        <v>197</v>
      </c>
      <c r="D20" s="9"/>
      <c r="E20" s="11"/>
    </row>
    <row r="21" spans="3:5" ht="15.75" customHeight="1">
      <c r="C21" s="46" t="s">
        <v>198</v>
      </c>
      <c r="D21" s="9"/>
      <c r="E21" s="9"/>
    </row>
    <row r="22" spans="3:5" ht="15.75" customHeight="1">
      <c r="C22" s="46" t="s">
        <v>199</v>
      </c>
      <c r="D22" s="9"/>
      <c r="E22" s="9"/>
    </row>
    <row r="23" spans="3:5" ht="15.75" customHeight="1">
      <c r="C23" s="47" t="s">
        <v>200</v>
      </c>
      <c r="D23" s="9"/>
      <c r="E23" s="11"/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82"/>
  <sheetViews>
    <sheetView showGridLines="0" zoomScaleNormal="100" workbookViewId="0">
      <selection activeCell="D17" sqref="D17"/>
    </sheetView>
  </sheetViews>
  <sheetFormatPr defaultColWidth="8.7109375" defaultRowHeight="15"/>
  <cols>
    <col min="2" max="2" width="3" customWidth="1"/>
    <col min="3" max="3" width="12" customWidth="1"/>
    <col min="4" max="12" width="13" customWidth="1"/>
  </cols>
  <sheetData>
    <row r="1" spans="2:14" ht="24.75" customHeight="1">
      <c r="B1" s="7" t="s">
        <v>37</v>
      </c>
    </row>
    <row r="2" spans="2:14">
      <c r="B2" s="8" t="s">
        <v>38</v>
      </c>
    </row>
    <row r="4" spans="2:14" ht="16.5" customHeight="1">
      <c r="C4" s="2" t="s">
        <v>39</v>
      </c>
    </row>
    <row r="5" spans="2:14" ht="28.5" customHeight="1">
      <c r="C5" s="3" t="s">
        <v>40</v>
      </c>
      <c r="D5" s="3" t="s">
        <v>41</v>
      </c>
      <c r="E5" s="3" t="s">
        <v>42</v>
      </c>
      <c r="F5" s="16" t="s">
        <v>9</v>
      </c>
      <c r="G5" s="3" t="s">
        <v>43</v>
      </c>
      <c r="H5" s="3" t="s">
        <v>44</v>
      </c>
      <c r="I5" s="16" t="s">
        <v>45</v>
      </c>
    </row>
    <row r="6" spans="2:14">
      <c r="C6" s="15" t="s">
        <v>46</v>
      </c>
      <c r="D6" s="17">
        <v>60000</v>
      </c>
      <c r="E6" s="17">
        <v>25000</v>
      </c>
      <c r="F6" s="17">
        <v>2267</v>
      </c>
      <c r="G6" s="18" t="s">
        <v>47</v>
      </c>
      <c r="H6" s="18" t="s">
        <v>47</v>
      </c>
      <c r="I6" s="18" t="s">
        <v>47</v>
      </c>
    </row>
    <row r="7" spans="2:14">
      <c r="C7" s="15" t="s">
        <v>48</v>
      </c>
      <c r="D7" s="17">
        <v>66700</v>
      </c>
      <c r="E7" s="17">
        <v>26500</v>
      </c>
      <c r="F7" s="17">
        <v>2591.3000000000002</v>
      </c>
      <c r="G7" s="19">
        <f t="shared" ref="G7:I8" si="0">D7/D6-1</f>
        <v>0.11166666666666658</v>
      </c>
      <c r="H7" s="19">
        <f t="shared" si="0"/>
        <v>6.0000000000000053E-2</v>
      </c>
      <c r="I7" s="19">
        <f t="shared" si="0"/>
        <v>0.14305249228054695</v>
      </c>
    </row>
    <row r="8" spans="2:14">
      <c r="C8" s="15" t="s">
        <v>49</v>
      </c>
      <c r="D8" s="17">
        <v>81000</v>
      </c>
      <c r="E8" s="17">
        <v>27200</v>
      </c>
      <c r="F8" s="17">
        <v>2873.5</v>
      </c>
      <c r="G8" s="19">
        <f t="shared" si="0"/>
        <v>0.21439280359820101</v>
      </c>
      <c r="H8" s="19">
        <f t="shared" si="0"/>
        <v>2.6415094339622636E-2</v>
      </c>
      <c r="I8" s="19">
        <f t="shared" si="0"/>
        <v>0.10890286728669007</v>
      </c>
    </row>
    <row r="9" spans="2:14">
      <c r="C9" s="1" t="s">
        <v>50</v>
      </c>
    </row>
    <row r="12" spans="2:14" ht="16.5" customHeight="1">
      <c r="C12" s="2" t="s">
        <v>51</v>
      </c>
    </row>
    <row r="13" spans="2:14" ht="31.5" customHeight="1">
      <c r="C13" s="16" t="s">
        <v>204</v>
      </c>
      <c r="D13" s="43" t="s">
        <v>205</v>
      </c>
      <c r="E13" s="43" t="s">
        <v>206</v>
      </c>
      <c r="F13" s="16" t="s">
        <v>207</v>
      </c>
      <c r="G13" s="16" t="s">
        <v>208</v>
      </c>
      <c r="H13" s="16" t="s">
        <v>209</v>
      </c>
      <c r="I13" s="16" t="s">
        <v>210</v>
      </c>
      <c r="J13" s="43" t="s">
        <v>211</v>
      </c>
      <c r="K13" s="43" t="s">
        <v>212</v>
      </c>
      <c r="L13" s="16" t="s">
        <v>213</v>
      </c>
      <c r="N13" s="1" t="s">
        <v>52</v>
      </c>
    </row>
    <row r="14" spans="2:14" ht="15.75" customHeight="1">
      <c r="C14" s="20" t="s">
        <v>53</v>
      </c>
      <c r="D14" s="21"/>
      <c r="E14" s="21"/>
      <c r="F14" s="22"/>
      <c r="G14" s="23" t="s">
        <v>47</v>
      </c>
      <c r="H14" s="23" t="s">
        <v>47</v>
      </c>
      <c r="I14" s="23" t="s">
        <v>47</v>
      </c>
      <c r="J14" s="24">
        <v>100</v>
      </c>
      <c r="K14" s="24">
        <v>100</v>
      </c>
      <c r="L14" s="24">
        <v>100</v>
      </c>
      <c r="N14" s="25" t="s">
        <v>54</v>
      </c>
    </row>
    <row r="15" spans="2:14" ht="15.75" customHeight="1">
      <c r="C15" s="20" t="s">
        <v>55</v>
      </c>
      <c r="D15" s="21"/>
      <c r="E15" s="21"/>
      <c r="F15" s="22"/>
      <c r="G15" s="23" t="str">
        <f t="shared" ref="G15:G46" si="1">IFERROR(D15/D14-1,"")</f>
        <v/>
      </c>
      <c r="H15" s="23" t="str">
        <f t="shared" ref="H15:H46" si="2">IFERROR(E15/E14-1,"")</f>
        <v/>
      </c>
      <c r="I15" s="23" t="str">
        <f t="shared" ref="I15:I46" si="3">IFERROR(F15/F14-1,"")</f>
        <v/>
      </c>
      <c r="J15" s="26" t="str">
        <f t="shared" ref="J15:J46" si="4">IFERROR(J14*(1+G15),"")</f>
        <v/>
      </c>
      <c r="K15" s="26" t="str">
        <f t="shared" ref="K15:K46" si="5">IFERROR(K14*(1+H15),"")</f>
        <v/>
      </c>
      <c r="L15" s="26" t="str">
        <f t="shared" ref="L15:L46" si="6">IFERROR(L14*(1+I15),"")</f>
        <v/>
      </c>
      <c r="N15" s="1" t="s">
        <v>56</v>
      </c>
    </row>
    <row r="16" spans="2:14" ht="15.75" customHeight="1">
      <c r="C16" s="20" t="s">
        <v>57</v>
      </c>
      <c r="D16" s="21"/>
      <c r="E16" s="21"/>
      <c r="F16" s="22"/>
      <c r="G16" s="27" t="str">
        <f t="shared" si="1"/>
        <v/>
      </c>
      <c r="H16" s="27" t="str">
        <f t="shared" si="2"/>
        <v/>
      </c>
      <c r="I16" s="27" t="str">
        <f t="shared" si="3"/>
        <v/>
      </c>
      <c r="J16" s="28" t="str">
        <f t="shared" si="4"/>
        <v/>
      </c>
      <c r="K16" s="28" t="str">
        <f t="shared" si="5"/>
        <v/>
      </c>
      <c r="L16" s="28" t="str">
        <f t="shared" si="6"/>
        <v/>
      </c>
    </row>
    <row r="17" spans="3:12" ht="15.75" customHeight="1">
      <c r="C17" s="20" t="s">
        <v>58</v>
      </c>
      <c r="D17" s="21"/>
      <c r="E17" s="21"/>
      <c r="F17" s="22"/>
      <c r="G17" s="27" t="str">
        <f t="shared" si="1"/>
        <v/>
      </c>
      <c r="H17" s="27" t="str">
        <f t="shared" si="2"/>
        <v/>
      </c>
      <c r="I17" s="27" t="str">
        <f t="shared" si="3"/>
        <v/>
      </c>
      <c r="J17" s="28" t="str">
        <f t="shared" si="4"/>
        <v/>
      </c>
      <c r="K17" s="28" t="str">
        <f t="shared" si="5"/>
        <v/>
      </c>
      <c r="L17" s="28" t="str">
        <f t="shared" si="6"/>
        <v/>
      </c>
    </row>
    <row r="18" spans="3:12" ht="15.75" customHeight="1">
      <c r="C18" s="20" t="s">
        <v>59</v>
      </c>
      <c r="D18" s="21"/>
      <c r="E18" s="21"/>
      <c r="F18" s="22"/>
      <c r="G18" s="27" t="str">
        <f t="shared" si="1"/>
        <v/>
      </c>
      <c r="H18" s="27" t="str">
        <f t="shared" si="2"/>
        <v/>
      </c>
      <c r="I18" s="27" t="str">
        <f t="shared" si="3"/>
        <v/>
      </c>
      <c r="J18" s="28" t="str">
        <f t="shared" si="4"/>
        <v/>
      </c>
      <c r="K18" s="28" t="str">
        <f t="shared" si="5"/>
        <v/>
      </c>
      <c r="L18" s="28" t="str">
        <f t="shared" si="6"/>
        <v/>
      </c>
    </row>
    <row r="19" spans="3:12" ht="15.75" customHeight="1">
      <c r="C19" s="20" t="s">
        <v>60</v>
      </c>
      <c r="D19" s="21"/>
      <c r="E19" s="21"/>
      <c r="F19" s="22"/>
      <c r="G19" s="27" t="str">
        <f t="shared" si="1"/>
        <v/>
      </c>
      <c r="H19" s="27" t="str">
        <f t="shared" si="2"/>
        <v/>
      </c>
      <c r="I19" s="27" t="str">
        <f t="shared" si="3"/>
        <v/>
      </c>
      <c r="J19" s="28" t="str">
        <f t="shared" si="4"/>
        <v/>
      </c>
      <c r="K19" s="28" t="str">
        <f t="shared" si="5"/>
        <v/>
      </c>
      <c r="L19" s="28" t="str">
        <f t="shared" si="6"/>
        <v/>
      </c>
    </row>
    <row r="20" spans="3:12" ht="15.75" customHeight="1">
      <c r="C20" s="20" t="s">
        <v>61</v>
      </c>
      <c r="D20" s="21"/>
      <c r="E20" s="21"/>
      <c r="F20" s="22"/>
      <c r="G20" s="27" t="str">
        <f t="shared" si="1"/>
        <v/>
      </c>
      <c r="H20" s="27" t="str">
        <f t="shared" si="2"/>
        <v/>
      </c>
      <c r="I20" s="27" t="str">
        <f t="shared" si="3"/>
        <v/>
      </c>
      <c r="J20" s="28" t="str">
        <f t="shared" si="4"/>
        <v/>
      </c>
      <c r="K20" s="28" t="str">
        <f t="shared" si="5"/>
        <v/>
      </c>
      <c r="L20" s="28" t="str">
        <f t="shared" si="6"/>
        <v/>
      </c>
    </row>
    <row r="21" spans="3:12" ht="15.75" customHeight="1">
      <c r="C21" s="20" t="s">
        <v>62</v>
      </c>
      <c r="D21" s="21"/>
      <c r="E21" s="21"/>
      <c r="F21" s="22"/>
      <c r="G21" s="27" t="str">
        <f t="shared" si="1"/>
        <v/>
      </c>
      <c r="H21" s="27" t="str">
        <f t="shared" si="2"/>
        <v/>
      </c>
      <c r="I21" s="27" t="str">
        <f t="shared" si="3"/>
        <v/>
      </c>
      <c r="J21" s="28" t="str">
        <f t="shared" si="4"/>
        <v/>
      </c>
      <c r="K21" s="28" t="str">
        <f t="shared" si="5"/>
        <v/>
      </c>
      <c r="L21" s="28" t="str">
        <f t="shared" si="6"/>
        <v/>
      </c>
    </row>
    <row r="22" spans="3:12" ht="15.75" customHeight="1">
      <c r="C22" s="20" t="s">
        <v>63</v>
      </c>
      <c r="D22" s="21"/>
      <c r="E22" s="21"/>
      <c r="F22" s="22"/>
      <c r="G22" s="27" t="str">
        <f t="shared" si="1"/>
        <v/>
      </c>
      <c r="H22" s="27" t="str">
        <f t="shared" si="2"/>
        <v/>
      </c>
      <c r="I22" s="27" t="str">
        <f t="shared" si="3"/>
        <v/>
      </c>
      <c r="J22" s="28" t="str">
        <f t="shared" si="4"/>
        <v/>
      </c>
      <c r="K22" s="28" t="str">
        <f t="shared" si="5"/>
        <v/>
      </c>
      <c r="L22" s="28" t="str">
        <f t="shared" si="6"/>
        <v/>
      </c>
    </row>
    <row r="23" spans="3:12" ht="15.75" customHeight="1">
      <c r="C23" s="20" t="s">
        <v>64</v>
      </c>
      <c r="D23" s="21"/>
      <c r="E23" s="21"/>
      <c r="F23" s="22"/>
      <c r="G23" s="27" t="str">
        <f t="shared" si="1"/>
        <v/>
      </c>
      <c r="H23" s="27" t="str">
        <f t="shared" si="2"/>
        <v/>
      </c>
      <c r="I23" s="27" t="str">
        <f t="shared" si="3"/>
        <v/>
      </c>
      <c r="J23" s="28" t="str">
        <f t="shared" si="4"/>
        <v/>
      </c>
      <c r="K23" s="28" t="str">
        <f t="shared" si="5"/>
        <v/>
      </c>
      <c r="L23" s="28" t="str">
        <f t="shared" si="6"/>
        <v/>
      </c>
    </row>
    <row r="24" spans="3:12" ht="15.75" customHeight="1">
      <c r="C24" s="20" t="s">
        <v>65</v>
      </c>
      <c r="D24" s="21"/>
      <c r="E24" s="21"/>
      <c r="F24" s="22"/>
      <c r="G24" s="27" t="str">
        <f t="shared" si="1"/>
        <v/>
      </c>
      <c r="H24" s="27" t="str">
        <f t="shared" si="2"/>
        <v/>
      </c>
      <c r="I24" s="27" t="str">
        <f t="shared" si="3"/>
        <v/>
      </c>
      <c r="J24" s="28" t="str">
        <f t="shared" si="4"/>
        <v/>
      </c>
      <c r="K24" s="28" t="str">
        <f t="shared" si="5"/>
        <v/>
      </c>
      <c r="L24" s="28" t="str">
        <f t="shared" si="6"/>
        <v/>
      </c>
    </row>
    <row r="25" spans="3:12" ht="15.75" customHeight="1">
      <c r="C25" s="20" t="s">
        <v>66</v>
      </c>
      <c r="D25" s="21"/>
      <c r="E25" s="21"/>
      <c r="F25" s="22"/>
      <c r="G25" s="27" t="str">
        <f t="shared" si="1"/>
        <v/>
      </c>
      <c r="H25" s="27" t="str">
        <f t="shared" si="2"/>
        <v/>
      </c>
      <c r="I25" s="27" t="str">
        <f t="shared" si="3"/>
        <v/>
      </c>
      <c r="J25" s="28" t="str">
        <f t="shared" si="4"/>
        <v/>
      </c>
      <c r="K25" s="28" t="str">
        <f t="shared" si="5"/>
        <v/>
      </c>
      <c r="L25" s="28" t="str">
        <f t="shared" si="6"/>
        <v/>
      </c>
    </row>
    <row r="26" spans="3:12" ht="15.75" customHeight="1">
      <c r="C26" s="20" t="s">
        <v>67</v>
      </c>
      <c r="D26" s="21"/>
      <c r="E26" s="21"/>
      <c r="F26" s="22"/>
      <c r="G26" s="27" t="str">
        <f t="shared" si="1"/>
        <v/>
      </c>
      <c r="H26" s="27" t="str">
        <f t="shared" si="2"/>
        <v/>
      </c>
      <c r="I26" s="27" t="str">
        <f t="shared" si="3"/>
        <v/>
      </c>
      <c r="J26" s="28" t="str">
        <f t="shared" si="4"/>
        <v/>
      </c>
      <c r="K26" s="28" t="str">
        <f t="shared" si="5"/>
        <v/>
      </c>
      <c r="L26" s="28" t="str">
        <f t="shared" si="6"/>
        <v/>
      </c>
    </row>
    <row r="27" spans="3:12" ht="15.75" customHeight="1">
      <c r="C27" s="20" t="s">
        <v>68</v>
      </c>
      <c r="D27" s="21"/>
      <c r="E27" s="21"/>
      <c r="F27" s="22"/>
      <c r="G27" s="27" t="str">
        <f t="shared" si="1"/>
        <v/>
      </c>
      <c r="H27" s="27" t="str">
        <f t="shared" si="2"/>
        <v/>
      </c>
      <c r="I27" s="27" t="str">
        <f t="shared" si="3"/>
        <v/>
      </c>
      <c r="J27" s="28" t="str">
        <f t="shared" si="4"/>
        <v/>
      </c>
      <c r="K27" s="28" t="str">
        <f t="shared" si="5"/>
        <v/>
      </c>
      <c r="L27" s="28" t="str">
        <f t="shared" si="6"/>
        <v/>
      </c>
    </row>
    <row r="28" spans="3:12" ht="15.75" customHeight="1">
      <c r="C28" s="20" t="s">
        <v>69</v>
      </c>
      <c r="D28" s="21"/>
      <c r="E28" s="21"/>
      <c r="F28" s="22"/>
      <c r="G28" s="27" t="str">
        <f t="shared" si="1"/>
        <v/>
      </c>
      <c r="H28" s="27" t="str">
        <f t="shared" si="2"/>
        <v/>
      </c>
      <c r="I28" s="27" t="str">
        <f t="shared" si="3"/>
        <v/>
      </c>
      <c r="J28" s="28" t="str">
        <f t="shared" si="4"/>
        <v/>
      </c>
      <c r="K28" s="28" t="str">
        <f t="shared" si="5"/>
        <v/>
      </c>
      <c r="L28" s="28" t="str">
        <f t="shared" si="6"/>
        <v/>
      </c>
    </row>
    <row r="29" spans="3:12" ht="15.75" customHeight="1">
      <c r="C29" s="20" t="s">
        <v>70</v>
      </c>
      <c r="D29" s="21"/>
      <c r="E29" s="21"/>
      <c r="F29" s="22"/>
      <c r="G29" s="27" t="str">
        <f t="shared" si="1"/>
        <v/>
      </c>
      <c r="H29" s="27" t="str">
        <f t="shared" si="2"/>
        <v/>
      </c>
      <c r="I29" s="27" t="str">
        <f t="shared" si="3"/>
        <v/>
      </c>
      <c r="J29" s="28" t="str">
        <f t="shared" si="4"/>
        <v/>
      </c>
      <c r="K29" s="28" t="str">
        <f t="shared" si="5"/>
        <v/>
      </c>
      <c r="L29" s="28" t="str">
        <f t="shared" si="6"/>
        <v/>
      </c>
    </row>
    <row r="30" spans="3:12" ht="15.75" customHeight="1">
      <c r="C30" s="20" t="s">
        <v>71</v>
      </c>
      <c r="D30" s="21"/>
      <c r="E30" s="21"/>
      <c r="F30" s="22"/>
      <c r="G30" s="27" t="str">
        <f t="shared" si="1"/>
        <v/>
      </c>
      <c r="H30" s="27" t="str">
        <f t="shared" si="2"/>
        <v/>
      </c>
      <c r="I30" s="27" t="str">
        <f t="shared" si="3"/>
        <v/>
      </c>
      <c r="J30" s="28" t="str">
        <f t="shared" si="4"/>
        <v/>
      </c>
      <c r="K30" s="28" t="str">
        <f t="shared" si="5"/>
        <v/>
      </c>
      <c r="L30" s="28" t="str">
        <f t="shared" si="6"/>
        <v/>
      </c>
    </row>
    <row r="31" spans="3:12" ht="15.75" customHeight="1">
      <c r="C31" s="20" t="s">
        <v>72</v>
      </c>
      <c r="D31" s="21"/>
      <c r="E31" s="21"/>
      <c r="F31" s="22"/>
      <c r="G31" s="27" t="str">
        <f t="shared" si="1"/>
        <v/>
      </c>
      <c r="H31" s="27" t="str">
        <f t="shared" si="2"/>
        <v/>
      </c>
      <c r="I31" s="27" t="str">
        <f t="shared" si="3"/>
        <v/>
      </c>
      <c r="J31" s="28" t="str">
        <f t="shared" si="4"/>
        <v/>
      </c>
      <c r="K31" s="28" t="str">
        <f t="shared" si="5"/>
        <v/>
      </c>
      <c r="L31" s="28" t="str">
        <f t="shared" si="6"/>
        <v/>
      </c>
    </row>
    <row r="32" spans="3:12" ht="15.75" customHeight="1">
      <c r="C32" s="20" t="s">
        <v>73</v>
      </c>
      <c r="D32" s="21"/>
      <c r="E32" s="21"/>
      <c r="F32" s="22"/>
      <c r="G32" s="27" t="str">
        <f t="shared" si="1"/>
        <v/>
      </c>
      <c r="H32" s="27" t="str">
        <f t="shared" si="2"/>
        <v/>
      </c>
      <c r="I32" s="27" t="str">
        <f t="shared" si="3"/>
        <v/>
      </c>
      <c r="J32" s="28" t="str">
        <f t="shared" si="4"/>
        <v/>
      </c>
      <c r="K32" s="28" t="str">
        <f t="shared" si="5"/>
        <v/>
      </c>
      <c r="L32" s="28" t="str">
        <f t="shared" si="6"/>
        <v/>
      </c>
    </row>
    <row r="33" spans="3:12" ht="15.75" customHeight="1">
      <c r="C33" s="20" t="s">
        <v>74</v>
      </c>
      <c r="D33" s="21"/>
      <c r="E33" s="21"/>
      <c r="F33" s="22"/>
      <c r="G33" s="27" t="str">
        <f t="shared" si="1"/>
        <v/>
      </c>
      <c r="H33" s="27" t="str">
        <f t="shared" si="2"/>
        <v/>
      </c>
      <c r="I33" s="27" t="str">
        <f t="shared" si="3"/>
        <v/>
      </c>
      <c r="J33" s="28" t="str">
        <f t="shared" si="4"/>
        <v/>
      </c>
      <c r="K33" s="28" t="str">
        <f t="shared" si="5"/>
        <v/>
      </c>
      <c r="L33" s="28" t="str">
        <f t="shared" si="6"/>
        <v/>
      </c>
    </row>
    <row r="34" spans="3:12" ht="15.75" customHeight="1">
      <c r="C34" s="20" t="s">
        <v>75</v>
      </c>
      <c r="D34" s="21"/>
      <c r="E34" s="21"/>
      <c r="F34" s="22"/>
      <c r="G34" s="27" t="str">
        <f t="shared" si="1"/>
        <v/>
      </c>
      <c r="H34" s="27" t="str">
        <f t="shared" si="2"/>
        <v/>
      </c>
      <c r="I34" s="27" t="str">
        <f t="shared" si="3"/>
        <v/>
      </c>
      <c r="J34" s="28" t="str">
        <f t="shared" si="4"/>
        <v/>
      </c>
      <c r="K34" s="28" t="str">
        <f t="shared" si="5"/>
        <v/>
      </c>
      <c r="L34" s="28" t="str">
        <f t="shared" si="6"/>
        <v/>
      </c>
    </row>
    <row r="35" spans="3:12" ht="15.75" customHeight="1">
      <c r="C35" s="20" t="s">
        <v>76</v>
      </c>
      <c r="D35" s="21"/>
      <c r="E35" s="21"/>
      <c r="F35" s="22"/>
      <c r="G35" s="27" t="str">
        <f t="shared" si="1"/>
        <v/>
      </c>
      <c r="H35" s="27" t="str">
        <f t="shared" si="2"/>
        <v/>
      </c>
      <c r="I35" s="27" t="str">
        <f t="shared" si="3"/>
        <v/>
      </c>
      <c r="J35" s="28" t="str">
        <f t="shared" si="4"/>
        <v/>
      </c>
      <c r="K35" s="28" t="str">
        <f t="shared" si="5"/>
        <v/>
      </c>
      <c r="L35" s="28" t="str">
        <f t="shared" si="6"/>
        <v/>
      </c>
    </row>
    <row r="36" spans="3:12" ht="15.75" customHeight="1">
      <c r="C36" s="20" t="s">
        <v>77</v>
      </c>
      <c r="D36" s="21"/>
      <c r="E36" s="21"/>
      <c r="F36" s="22"/>
      <c r="G36" s="27" t="str">
        <f t="shared" si="1"/>
        <v/>
      </c>
      <c r="H36" s="27" t="str">
        <f t="shared" si="2"/>
        <v/>
      </c>
      <c r="I36" s="27" t="str">
        <f t="shared" si="3"/>
        <v/>
      </c>
      <c r="J36" s="28" t="str">
        <f t="shared" si="4"/>
        <v/>
      </c>
      <c r="K36" s="28" t="str">
        <f t="shared" si="5"/>
        <v/>
      </c>
      <c r="L36" s="28" t="str">
        <f t="shared" si="6"/>
        <v/>
      </c>
    </row>
    <row r="37" spans="3:12" ht="15.75" customHeight="1">
      <c r="C37" s="20" t="s">
        <v>78</v>
      </c>
      <c r="D37" s="21"/>
      <c r="E37" s="21"/>
      <c r="F37" s="22"/>
      <c r="G37" s="27" t="str">
        <f t="shared" si="1"/>
        <v/>
      </c>
      <c r="H37" s="27" t="str">
        <f t="shared" si="2"/>
        <v/>
      </c>
      <c r="I37" s="27" t="str">
        <f t="shared" si="3"/>
        <v/>
      </c>
      <c r="J37" s="28" t="str">
        <f t="shared" si="4"/>
        <v/>
      </c>
      <c r="K37" s="28" t="str">
        <f t="shared" si="5"/>
        <v/>
      </c>
      <c r="L37" s="28" t="str">
        <f t="shared" si="6"/>
        <v/>
      </c>
    </row>
    <row r="38" spans="3:12" ht="15.75" customHeight="1">
      <c r="C38" s="20" t="s">
        <v>79</v>
      </c>
      <c r="D38" s="21"/>
      <c r="E38" s="21"/>
      <c r="F38" s="22"/>
      <c r="G38" s="27" t="str">
        <f t="shared" si="1"/>
        <v/>
      </c>
      <c r="H38" s="27" t="str">
        <f t="shared" si="2"/>
        <v/>
      </c>
      <c r="I38" s="27" t="str">
        <f t="shared" si="3"/>
        <v/>
      </c>
      <c r="J38" s="28" t="str">
        <f t="shared" si="4"/>
        <v/>
      </c>
      <c r="K38" s="28" t="str">
        <f t="shared" si="5"/>
        <v/>
      </c>
      <c r="L38" s="28" t="str">
        <f t="shared" si="6"/>
        <v/>
      </c>
    </row>
    <row r="39" spans="3:12" ht="15.75" customHeight="1">
      <c r="C39" s="20" t="s">
        <v>80</v>
      </c>
      <c r="D39" s="21"/>
      <c r="E39" s="21"/>
      <c r="F39" s="22"/>
      <c r="G39" s="27" t="str">
        <f t="shared" si="1"/>
        <v/>
      </c>
      <c r="H39" s="27" t="str">
        <f t="shared" si="2"/>
        <v/>
      </c>
      <c r="I39" s="27" t="str">
        <f t="shared" si="3"/>
        <v/>
      </c>
      <c r="J39" s="28" t="str">
        <f t="shared" si="4"/>
        <v/>
      </c>
      <c r="K39" s="28" t="str">
        <f t="shared" si="5"/>
        <v/>
      </c>
      <c r="L39" s="28" t="str">
        <f t="shared" si="6"/>
        <v/>
      </c>
    </row>
    <row r="40" spans="3:12" ht="15.75" customHeight="1">
      <c r="C40" s="20" t="s">
        <v>81</v>
      </c>
      <c r="D40" s="21"/>
      <c r="E40" s="21"/>
      <c r="F40" s="22"/>
      <c r="G40" s="27" t="str">
        <f t="shared" si="1"/>
        <v/>
      </c>
      <c r="H40" s="27" t="str">
        <f t="shared" si="2"/>
        <v/>
      </c>
      <c r="I40" s="27" t="str">
        <f t="shared" si="3"/>
        <v/>
      </c>
      <c r="J40" s="28" t="str">
        <f t="shared" si="4"/>
        <v/>
      </c>
      <c r="K40" s="28" t="str">
        <f t="shared" si="5"/>
        <v/>
      </c>
      <c r="L40" s="28" t="str">
        <f t="shared" si="6"/>
        <v/>
      </c>
    </row>
    <row r="41" spans="3:12" ht="15.75" customHeight="1">
      <c r="C41" s="20" t="s">
        <v>82</v>
      </c>
      <c r="D41" s="21"/>
      <c r="E41" s="21"/>
      <c r="F41" s="22"/>
      <c r="G41" s="27" t="str">
        <f t="shared" si="1"/>
        <v/>
      </c>
      <c r="H41" s="27" t="str">
        <f t="shared" si="2"/>
        <v/>
      </c>
      <c r="I41" s="27" t="str">
        <f t="shared" si="3"/>
        <v/>
      </c>
      <c r="J41" s="28" t="str">
        <f t="shared" si="4"/>
        <v/>
      </c>
      <c r="K41" s="28" t="str">
        <f t="shared" si="5"/>
        <v/>
      </c>
      <c r="L41" s="28" t="str">
        <f t="shared" si="6"/>
        <v/>
      </c>
    </row>
    <row r="42" spans="3:12" ht="15.75" customHeight="1">
      <c r="C42" s="20" t="s">
        <v>83</v>
      </c>
      <c r="D42" s="21"/>
      <c r="E42" s="21"/>
      <c r="F42" s="22"/>
      <c r="G42" s="27" t="str">
        <f t="shared" si="1"/>
        <v/>
      </c>
      <c r="H42" s="27" t="str">
        <f t="shared" si="2"/>
        <v/>
      </c>
      <c r="I42" s="27" t="str">
        <f t="shared" si="3"/>
        <v/>
      </c>
      <c r="J42" s="28" t="str">
        <f t="shared" si="4"/>
        <v/>
      </c>
      <c r="K42" s="28" t="str">
        <f t="shared" si="5"/>
        <v/>
      </c>
      <c r="L42" s="28" t="str">
        <f t="shared" si="6"/>
        <v/>
      </c>
    </row>
    <row r="43" spans="3:12" ht="15.75" customHeight="1">
      <c r="C43" s="20" t="s">
        <v>84</v>
      </c>
      <c r="D43" s="21"/>
      <c r="E43" s="21"/>
      <c r="F43" s="22"/>
      <c r="G43" s="27" t="str">
        <f t="shared" si="1"/>
        <v/>
      </c>
      <c r="H43" s="27" t="str">
        <f t="shared" si="2"/>
        <v/>
      </c>
      <c r="I43" s="27" t="str">
        <f t="shared" si="3"/>
        <v/>
      </c>
      <c r="J43" s="28" t="str">
        <f t="shared" si="4"/>
        <v/>
      </c>
      <c r="K43" s="28" t="str">
        <f t="shared" si="5"/>
        <v/>
      </c>
      <c r="L43" s="28" t="str">
        <f t="shared" si="6"/>
        <v/>
      </c>
    </row>
    <row r="44" spans="3:12" ht="15.75" customHeight="1">
      <c r="C44" s="20" t="s">
        <v>85</v>
      </c>
      <c r="D44" s="21"/>
      <c r="E44" s="21"/>
      <c r="F44" s="22"/>
      <c r="G44" s="27" t="str">
        <f t="shared" si="1"/>
        <v/>
      </c>
      <c r="H44" s="27" t="str">
        <f t="shared" si="2"/>
        <v/>
      </c>
      <c r="I44" s="27" t="str">
        <f t="shared" si="3"/>
        <v/>
      </c>
      <c r="J44" s="28" t="str">
        <f t="shared" si="4"/>
        <v/>
      </c>
      <c r="K44" s="28" t="str">
        <f t="shared" si="5"/>
        <v/>
      </c>
      <c r="L44" s="28" t="str">
        <f t="shared" si="6"/>
        <v/>
      </c>
    </row>
    <row r="45" spans="3:12" ht="15.75" customHeight="1">
      <c r="C45" s="20" t="s">
        <v>86</v>
      </c>
      <c r="D45" s="21"/>
      <c r="E45" s="21"/>
      <c r="F45" s="22"/>
      <c r="G45" s="27" t="str">
        <f t="shared" si="1"/>
        <v/>
      </c>
      <c r="H45" s="27" t="str">
        <f t="shared" si="2"/>
        <v/>
      </c>
      <c r="I45" s="27" t="str">
        <f t="shared" si="3"/>
        <v/>
      </c>
      <c r="J45" s="28" t="str">
        <f t="shared" si="4"/>
        <v/>
      </c>
      <c r="K45" s="28" t="str">
        <f t="shared" si="5"/>
        <v/>
      </c>
      <c r="L45" s="28" t="str">
        <f t="shared" si="6"/>
        <v/>
      </c>
    </row>
    <row r="46" spans="3:12" ht="15.75" customHeight="1">
      <c r="C46" s="20" t="s">
        <v>87</v>
      </c>
      <c r="D46" s="21"/>
      <c r="E46" s="21"/>
      <c r="F46" s="22"/>
      <c r="G46" s="27" t="str">
        <f t="shared" si="1"/>
        <v/>
      </c>
      <c r="H46" s="27" t="str">
        <f t="shared" si="2"/>
        <v/>
      </c>
      <c r="I46" s="27" t="str">
        <f t="shared" si="3"/>
        <v/>
      </c>
      <c r="J46" s="28" t="str">
        <f t="shared" si="4"/>
        <v/>
      </c>
      <c r="K46" s="28" t="str">
        <f t="shared" si="5"/>
        <v/>
      </c>
      <c r="L46" s="28" t="str">
        <f t="shared" si="6"/>
        <v/>
      </c>
    </row>
    <row r="47" spans="3:12" ht="15.75" customHeight="1">
      <c r="C47" s="20" t="s">
        <v>88</v>
      </c>
      <c r="D47" s="21"/>
      <c r="E47" s="21"/>
      <c r="F47" s="22"/>
      <c r="G47" s="27" t="str">
        <f t="shared" ref="G47:G73" si="7">IFERROR(D47/D46-1,"")</f>
        <v/>
      </c>
      <c r="H47" s="27" t="str">
        <f t="shared" ref="H47:H73" si="8">IFERROR(E47/E46-1,"")</f>
        <v/>
      </c>
      <c r="I47" s="27" t="str">
        <f t="shared" ref="I47:I73" si="9">IFERROR(F47/F46-1,"")</f>
        <v/>
      </c>
      <c r="J47" s="28" t="str">
        <f t="shared" ref="J47:J73" si="10">IFERROR(J46*(1+G47),"")</f>
        <v/>
      </c>
      <c r="K47" s="28" t="str">
        <f t="shared" ref="K47:K73" si="11">IFERROR(K46*(1+H47),"")</f>
        <v/>
      </c>
      <c r="L47" s="28" t="str">
        <f t="shared" ref="L47:L73" si="12">IFERROR(L46*(1+I47),"")</f>
        <v/>
      </c>
    </row>
    <row r="48" spans="3:12" ht="15.75" customHeight="1">
      <c r="C48" s="20" t="s">
        <v>89</v>
      </c>
      <c r="D48" s="21"/>
      <c r="E48" s="21"/>
      <c r="F48" s="22"/>
      <c r="G48" s="27" t="str">
        <f t="shared" si="7"/>
        <v/>
      </c>
      <c r="H48" s="27" t="str">
        <f t="shared" si="8"/>
        <v/>
      </c>
      <c r="I48" s="27" t="str">
        <f t="shared" si="9"/>
        <v/>
      </c>
      <c r="J48" s="28" t="str">
        <f t="shared" si="10"/>
        <v/>
      </c>
      <c r="K48" s="28" t="str">
        <f t="shared" si="11"/>
        <v/>
      </c>
      <c r="L48" s="28" t="str">
        <f t="shared" si="12"/>
        <v/>
      </c>
    </row>
    <row r="49" spans="3:12" ht="15.75" customHeight="1">
      <c r="C49" s="20" t="s">
        <v>90</v>
      </c>
      <c r="D49" s="21"/>
      <c r="E49" s="21"/>
      <c r="F49" s="22"/>
      <c r="G49" s="27" t="str">
        <f t="shared" si="7"/>
        <v/>
      </c>
      <c r="H49" s="27" t="str">
        <f t="shared" si="8"/>
        <v/>
      </c>
      <c r="I49" s="27" t="str">
        <f t="shared" si="9"/>
        <v/>
      </c>
      <c r="J49" s="28" t="str">
        <f t="shared" si="10"/>
        <v/>
      </c>
      <c r="K49" s="28" t="str">
        <f t="shared" si="11"/>
        <v/>
      </c>
      <c r="L49" s="28" t="str">
        <f t="shared" si="12"/>
        <v/>
      </c>
    </row>
    <row r="50" spans="3:12" ht="15.75" customHeight="1">
      <c r="C50" s="20" t="s">
        <v>91</v>
      </c>
      <c r="D50" s="21"/>
      <c r="E50" s="21"/>
      <c r="F50" s="22"/>
      <c r="G50" s="27" t="str">
        <f t="shared" si="7"/>
        <v/>
      </c>
      <c r="H50" s="27" t="str">
        <f t="shared" si="8"/>
        <v/>
      </c>
      <c r="I50" s="27" t="str">
        <f t="shared" si="9"/>
        <v/>
      </c>
      <c r="J50" s="28" t="str">
        <f t="shared" si="10"/>
        <v/>
      </c>
      <c r="K50" s="28" t="str">
        <f t="shared" si="11"/>
        <v/>
      </c>
      <c r="L50" s="28" t="str">
        <f t="shared" si="12"/>
        <v/>
      </c>
    </row>
    <row r="51" spans="3:12" ht="15.75" customHeight="1">
      <c r="C51" s="20" t="s">
        <v>92</v>
      </c>
      <c r="D51" s="21"/>
      <c r="E51" s="21"/>
      <c r="F51" s="22"/>
      <c r="G51" s="27" t="str">
        <f t="shared" si="7"/>
        <v/>
      </c>
      <c r="H51" s="27" t="str">
        <f t="shared" si="8"/>
        <v/>
      </c>
      <c r="I51" s="27" t="str">
        <f t="shared" si="9"/>
        <v/>
      </c>
      <c r="J51" s="28" t="str">
        <f t="shared" si="10"/>
        <v/>
      </c>
      <c r="K51" s="28" t="str">
        <f t="shared" si="11"/>
        <v/>
      </c>
      <c r="L51" s="28" t="str">
        <f t="shared" si="12"/>
        <v/>
      </c>
    </row>
    <row r="52" spans="3:12" ht="15.75" customHeight="1">
      <c r="C52" s="20" t="s">
        <v>93</v>
      </c>
      <c r="D52" s="21"/>
      <c r="E52" s="21"/>
      <c r="F52" s="22"/>
      <c r="G52" s="27" t="str">
        <f t="shared" si="7"/>
        <v/>
      </c>
      <c r="H52" s="27" t="str">
        <f t="shared" si="8"/>
        <v/>
      </c>
      <c r="I52" s="27" t="str">
        <f t="shared" si="9"/>
        <v/>
      </c>
      <c r="J52" s="28" t="str">
        <f t="shared" si="10"/>
        <v/>
      </c>
      <c r="K52" s="28" t="str">
        <f t="shared" si="11"/>
        <v/>
      </c>
      <c r="L52" s="28" t="str">
        <f t="shared" si="12"/>
        <v/>
      </c>
    </row>
    <row r="53" spans="3:12" ht="15.75" customHeight="1">
      <c r="C53" s="20" t="s">
        <v>94</v>
      </c>
      <c r="D53" s="21"/>
      <c r="E53" s="21"/>
      <c r="F53" s="22"/>
      <c r="G53" s="27" t="str">
        <f t="shared" si="7"/>
        <v/>
      </c>
      <c r="H53" s="27" t="str">
        <f t="shared" si="8"/>
        <v/>
      </c>
      <c r="I53" s="27" t="str">
        <f t="shared" si="9"/>
        <v/>
      </c>
      <c r="J53" s="28" t="str">
        <f t="shared" si="10"/>
        <v/>
      </c>
      <c r="K53" s="28" t="str">
        <f t="shared" si="11"/>
        <v/>
      </c>
      <c r="L53" s="28" t="str">
        <f t="shared" si="12"/>
        <v/>
      </c>
    </row>
    <row r="54" spans="3:12" ht="15.75" customHeight="1">
      <c r="C54" s="20" t="s">
        <v>95</v>
      </c>
      <c r="D54" s="21"/>
      <c r="E54" s="21"/>
      <c r="F54" s="22"/>
      <c r="G54" s="27" t="str">
        <f t="shared" si="7"/>
        <v/>
      </c>
      <c r="H54" s="27" t="str">
        <f t="shared" si="8"/>
        <v/>
      </c>
      <c r="I54" s="27" t="str">
        <f t="shared" si="9"/>
        <v/>
      </c>
      <c r="J54" s="28" t="str">
        <f t="shared" si="10"/>
        <v/>
      </c>
      <c r="K54" s="28" t="str">
        <f t="shared" si="11"/>
        <v/>
      </c>
      <c r="L54" s="28" t="str">
        <f t="shared" si="12"/>
        <v/>
      </c>
    </row>
    <row r="55" spans="3:12" ht="15.75" customHeight="1">
      <c r="C55" s="20" t="s">
        <v>96</v>
      </c>
      <c r="D55" s="21"/>
      <c r="E55" s="21"/>
      <c r="F55" s="22"/>
      <c r="G55" s="27" t="str">
        <f t="shared" si="7"/>
        <v/>
      </c>
      <c r="H55" s="27" t="str">
        <f t="shared" si="8"/>
        <v/>
      </c>
      <c r="I55" s="27" t="str">
        <f t="shared" si="9"/>
        <v/>
      </c>
      <c r="J55" s="28" t="str">
        <f t="shared" si="10"/>
        <v/>
      </c>
      <c r="K55" s="28" t="str">
        <f t="shared" si="11"/>
        <v/>
      </c>
      <c r="L55" s="28" t="str">
        <f t="shared" si="12"/>
        <v/>
      </c>
    </row>
    <row r="56" spans="3:12" ht="15.75" customHeight="1">
      <c r="C56" s="20" t="s">
        <v>97</v>
      </c>
      <c r="D56" s="21"/>
      <c r="E56" s="21"/>
      <c r="F56" s="22"/>
      <c r="G56" s="27" t="str">
        <f t="shared" si="7"/>
        <v/>
      </c>
      <c r="H56" s="27" t="str">
        <f t="shared" si="8"/>
        <v/>
      </c>
      <c r="I56" s="27" t="str">
        <f t="shared" si="9"/>
        <v/>
      </c>
      <c r="J56" s="28" t="str">
        <f t="shared" si="10"/>
        <v/>
      </c>
      <c r="K56" s="28" t="str">
        <f t="shared" si="11"/>
        <v/>
      </c>
      <c r="L56" s="28" t="str">
        <f t="shared" si="12"/>
        <v/>
      </c>
    </row>
    <row r="57" spans="3:12" ht="15.75" customHeight="1">
      <c r="C57" s="20" t="s">
        <v>98</v>
      </c>
      <c r="D57" s="21"/>
      <c r="E57" s="21"/>
      <c r="F57" s="22"/>
      <c r="G57" s="27" t="str">
        <f t="shared" si="7"/>
        <v/>
      </c>
      <c r="H57" s="27" t="str">
        <f t="shared" si="8"/>
        <v/>
      </c>
      <c r="I57" s="27" t="str">
        <f t="shared" si="9"/>
        <v/>
      </c>
      <c r="J57" s="28" t="str">
        <f t="shared" si="10"/>
        <v/>
      </c>
      <c r="K57" s="28" t="str">
        <f t="shared" si="11"/>
        <v/>
      </c>
      <c r="L57" s="28" t="str">
        <f t="shared" si="12"/>
        <v/>
      </c>
    </row>
    <row r="58" spans="3:12" ht="15.75" customHeight="1">
      <c r="C58" s="20" t="s">
        <v>99</v>
      </c>
      <c r="D58" s="21"/>
      <c r="E58" s="21"/>
      <c r="F58" s="22"/>
      <c r="G58" s="27" t="str">
        <f t="shared" si="7"/>
        <v/>
      </c>
      <c r="H58" s="27" t="str">
        <f t="shared" si="8"/>
        <v/>
      </c>
      <c r="I58" s="27" t="str">
        <f t="shared" si="9"/>
        <v/>
      </c>
      <c r="J58" s="28" t="str">
        <f t="shared" si="10"/>
        <v/>
      </c>
      <c r="K58" s="28" t="str">
        <f t="shared" si="11"/>
        <v/>
      </c>
      <c r="L58" s="28" t="str">
        <f t="shared" si="12"/>
        <v/>
      </c>
    </row>
    <row r="59" spans="3:12" ht="15.75" customHeight="1">
      <c r="C59" s="20" t="s">
        <v>100</v>
      </c>
      <c r="D59" s="21"/>
      <c r="E59" s="21"/>
      <c r="F59" s="22"/>
      <c r="G59" s="27" t="str">
        <f t="shared" si="7"/>
        <v/>
      </c>
      <c r="H59" s="27" t="str">
        <f t="shared" si="8"/>
        <v/>
      </c>
      <c r="I59" s="27" t="str">
        <f t="shared" si="9"/>
        <v/>
      </c>
      <c r="J59" s="28" t="str">
        <f t="shared" si="10"/>
        <v/>
      </c>
      <c r="K59" s="28" t="str">
        <f t="shared" si="11"/>
        <v/>
      </c>
      <c r="L59" s="28" t="str">
        <f t="shared" si="12"/>
        <v/>
      </c>
    </row>
    <row r="60" spans="3:12" ht="15.75" customHeight="1">
      <c r="C60" s="20" t="s">
        <v>101</v>
      </c>
      <c r="D60" s="21"/>
      <c r="E60" s="21"/>
      <c r="F60" s="22"/>
      <c r="G60" s="27" t="str">
        <f t="shared" si="7"/>
        <v/>
      </c>
      <c r="H60" s="27" t="str">
        <f t="shared" si="8"/>
        <v/>
      </c>
      <c r="I60" s="27" t="str">
        <f t="shared" si="9"/>
        <v/>
      </c>
      <c r="J60" s="28" t="str">
        <f t="shared" si="10"/>
        <v/>
      </c>
      <c r="K60" s="28" t="str">
        <f t="shared" si="11"/>
        <v/>
      </c>
      <c r="L60" s="28" t="str">
        <f t="shared" si="12"/>
        <v/>
      </c>
    </row>
    <row r="61" spans="3:12" ht="15.75" customHeight="1">
      <c r="C61" s="20" t="s">
        <v>102</v>
      </c>
      <c r="D61" s="21"/>
      <c r="E61" s="21"/>
      <c r="F61" s="22"/>
      <c r="G61" s="27" t="str">
        <f t="shared" si="7"/>
        <v/>
      </c>
      <c r="H61" s="27" t="str">
        <f t="shared" si="8"/>
        <v/>
      </c>
      <c r="I61" s="27" t="str">
        <f t="shared" si="9"/>
        <v/>
      </c>
      <c r="J61" s="28" t="str">
        <f t="shared" si="10"/>
        <v/>
      </c>
      <c r="K61" s="28" t="str">
        <f t="shared" si="11"/>
        <v/>
      </c>
      <c r="L61" s="28" t="str">
        <f t="shared" si="12"/>
        <v/>
      </c>
    </row>
    <row r="62" spans="3:12" ht="15.75" customHeight="1">
      <c r="C62" s="20" t="s">
        <v>103</v>
      </c>
      <c r="D62" s="21"/>
      <c r="E62" s="21"/>
      <c r="F62" s="22"/>
      <c r="G62" s="27" t="str">
        <f t="shared" si="7"/>
        <v/>
      </c>
      <c r="H62" s="27" t="str">
        <f t="shared" si="8"/>
        <v/>
      </c>
      <c r="I62" s="27" t="str">
        <f t="shared" si="9"/>
        <v/>
      </c>
      <c r="J62" s="28" t="str">
        <f t="shared" si="10"/>
        <v/>
      </c>
      <c r="K62" s="28" t="str">
        <f t="shared" si="11"/>
        <v/>
      </c>
      <c r="L62" s="28" t="str">
        <f t="shared" si="12"/>
        <v/>
      </c>
    </row>
    <row r="63" spans="3:12" ht="15.75" customHeight="1">
      <c r="C63" s="20" t="s">
        <v>104</v>
      </c>
      <c r="D63" s="21"/>
      <c r="E63" s="21"/>
      <c r="F63" s="22"/>
      <c r="G63" s="27" t="str">
        <f t="shared" si="7"/>
        <v/>
      </c>
      <c r="H63" s="27" t="str">
        <f t="shared" si="8"/>
        <v/>
      </c>
      <c r="I63" s="27" t="str">
        <f t="shared" si="9"/>
        <v/>
      </c>
      <c r="J63" s="28" t="str">
        <f t="shared" si="10"/>
        <v/>
      </c>
      <c r="K63" s="28" t="str">
        <f t="shared" si="11"/>
        <v/>
      </c>
      <c r="L63" s="28" t="str">
        <f t="shared" si="12"/>
        <v/>
      </c>
    </row>
    <row r="64" spans="3:12" ht="15.75" customHeight="1">
      <c r="C64" s="20" t="s">
        <v>105</v>
      </c>
      <c r="D64" s="21"/>
      <c r="E64" s="21"/>
      <c r="F64" s="22"/>
      <c r="G64" s="27" t="str">
        <f t="shared" si="7"/>
        <v/>
      </c>
      <c r="H64" s="27" t="str">
        <f t="shared" si="8"/>
        <v/>
      </c>
      <c r="I64" s="27" t="str">
        <f t="shared" si="9"/>
        <v/>
      </c>
      <c r="J64" s="28" t="str">
        <f t="shared" si="10"/>
        <v/>
      </c>
      <c r="K64" s="28" t="str">
        <f t="shared" si="11"/>
        <v/>
      </c>
      <c r="L64" s="28" t="str">
        <f t="shared" si="12"/>
        <v/>
      </c>
    </row>
    <row r="65" spans="3:12" ht="15.75" customHeight="1">
      <c r="C65" s="20" t="s">
        <v>106</v>
      </c>
      <c r="D65" s="21"/>
      <c r="E65" s="21"/>
      <c r="F65" s="22"/>
      <c r="G65" s="27" t="str">
        <f t="shared" si="7"/>
        <v/>
      </c>
      <c r="H65" s="27" t="str">
        <f t="shared" si="8"/>
        <v/>
      </c>
      <c r="I65" s="27" t="str">
        <f t="shared" si="9"/>
        <v/>
      </c>
      <c r="J65" s="28" t="str">
        <f t="shared" si="10"/>
        <v/>
      </c>
      <c r="K65" s="28" t="str">
        <f t="shared" si="11"/>
        <v/>
      </c>
      <c r="L65" s="28" t="str">
        <f t="shared" si="12"/>
        <v/>
      </c>
    </row>
    <row r="66" spans="3:12" ht="15.75" customHeight="1">
      <c r="C66" s="20" t="s">
        <v>107</v>
      </c>
      <c r="D66" s="21"/>
      <c r="E66" s="21"/>
      <c r="F66" s="22"/>
      <c r="G66" s="27" t="str">
        <f t="shared" si="7"/>
        <v/>
      </c>
      <c r="H66" s="27" t="str">
        <f t="shared" si="8"/>
        <v/>
      </c>
      <c r="I66" s="27" t="str">
        <f t="shared" si="9"/>
        <v/>
      </c>
      <c r="J66" s="28" t="str">
        <f t="shared" si="10"/>
        <v/>
      </c>
      <c r="K66" s="28" t="str">
        <f t="shared" si="11"/>
        <v/>
      </c>
      <c r="L66" s="28" t="str">
        <f t="shared" si="12"/>
        <v/>
      </c>
    </row>
    <row r="67" spans="3:12" ht="15.75" customHeight="1">
      <c r="C67" s="20" t="s">
        <v>108</v>
      </c>
      <c r="D67" s="21"/>
      <c r="E67" s="21"/>
      <c r="F67" s="22"/>
      <c r="G67" s="27" t="str">
        <f t="shared" si="7"/>
        <v/>
      </c>
      <c r="H67" s="27" t="str">
        <f t="shared" si="8"/>
        <v/>
      </c>
      <c r="I67" s="27" t="str">
        <f t="shared" si="9"/>
        <v/>
      </c>
      <c r="J67" s="28" t="str">
        <f t="shared" si="10"/>
        <v/>
      </c>
      <c r="K67" s="28" t="str">
        <f t="shared" si="11"/>
        <v/>
      </c>
      <c r="L67" s="28" t="str">
        <f t="shared" si="12"/>
        <v/>
      </c>
    </row>
    <row r="68" spans="3:12" ht="15.75" customHeight="1">
      <c r="C68" s="20" t="s">
        <v>109</v>
      </c>
      <c r="D68" s="21"/>
      <c r="E68" s="21"/>
      <c r="F68" s="22"/>
      <c r="G68" s="27" t="str">
        <f t="shared" si="7"/>
        <v/>
      </c>
      <c r="H68" s="27" t="str">
        <f t="shared" si="8"/>
        <v/>
      </c>
      <c r="I68" s="27" t="str">
        <f t="shared" si="9"/>
        <v/>
      </c>
      <c r="J68" s="28" t="str">
        <f t="shared" si="10"/>
        <v/>
      </c>
      <c r="K68" s="28" t="str">
        <f t="shared" si="11"/>
        <v/>
      </c>
      <c r="L68" s="28" t="str">
        <f t="shared" si="12"/>
        <v/>
      </c>
    </row>
    <row r="69" spans="3:12" ht="15.75" customHeight="1">
      <c r="C69" s="20" t="s">
        <v>110</v>
      </c>
      <c r="D69" s="21"/>
      <c r="E69" s="21"/>
      <c r="F69" s="22"/>
      <c r="G69" s="27" t="str">
        <f t="shared" si="7"/>
        <v/>
      </c>
      <c r="H69" s="27" t="str">
        <f t="shared" si="8"/>
        <v/>
      </c>
      <c r="I69" s="27" t="str">
        <f t="shared" si="9"/>
        <v/>
      </c>
      <c r="J69" s="28" t="str">
        <f t="shared" si="10"/>
        <v/>
      </c>
      <c r="K69" s="28" t="str">
        <f t="shared" si="11"/>
        <v/>
      </c>
      <c r="L69" s="28" t="str">
        <f t="shared" si="12"/>
        <v/>
      </c>
    </row>
    <row r="70" spans="3:12" ht="15.75" customHeight="1">
      <c r="C70" s="20" t="s">
        <v>111</v>
      </c>
      <c r="D70" s="21"/>
      <c r="E70" s="21"/>
      <c r="F70" s="22"/>
      <c r="G70" s="27" t="str">
        <f t="shared" si="7"/>
        <v/>
      </c>
      <c r="H70" s="27" t="str">
        <f t="shared" si="8"/>
        <v/>
      </c>
      <c r="I70" s="27" t="str">
        <f t="shared" si="9"/>
        <v/>
      </c>
      <c r="J70" s="28" t="str">
        <f t="shared" si="10"/>
        <v/>
      </c>
      <c r="K70" s="28" t="str">
        <f t="shared" si="11"/>
        <v/>
      </c>
      <c r="L70" s="28" t="str">
        <f t="shared" si="12"/>
        <v/>
      </c>
    </row>
    <row r="71" spans="3:12" ht="15.75" customHeight="1">
      <c r="C71" s="20" t="s">
        <v>112</v>
      </c>
      <c r="D71" s="21"/>
      <c r="E71" s="21"/>
      <c r="F71" s="22"/>
      <c r="G71" s="27" t="str">
        <f t="shared" si="7"/>
        <v/>
      </c>
      <c r="H71" s="27" t="str">
        <f t="shared" si="8"/>
        <v/>
      </c>
      <c r="I71" s="27" t="str">
        <f t="shared" si="9"/>
        <v/>
      </c>
      <c r="J71" s="28" t="str">
        <f t="shared" si="10"/>
        <v/>
      </c>
      <c r="K71" s="28" t="str">
        <f t="shared" si="11"/>
        <v/>
      </c>
      <c r="L71" s="28" t="str">
        <f t="shared" si="12"/>
        <v/>
      </c>
    </row>
    <row r="72" spans="3:12" ht="15.75" customHeight="1">
      <c r="C72" s="20" t="s">
        <v>113</v>
      </c>
      <c r="D72" s="21"/>
      <c r="E72" s="21"/>
      <c r="F72" s="22"/>
      <c r="G72" s="27" t="str">
        <f t="shared" si="7"/>
        <v/>
      </c>
      <c r="H72" s="27" t="str">
        <f t="shared" si="8"/>
        <v/>
      </c>
      <c r="I72" s="27" t="str">
        <f t="shared" si="9"/>
        <v/>
      </c>
      <c r="J72" s="28" t="str">
        <f t="shared" si="10"/>
        <v/>
      </c>
      <c r="K72" s="28" t="str">
        <f t="shared" si="11"/>
        <v/>
      </c>
      <c r="L72" s="28" t="str">
        <f t="shared" si="12"/>
        <v/>
      </c>
    </row>
    <row r="73" spans="3:12" ht="15.75" customHeight="1">
      <c r="C73" s="20" t="s">
        <v>114</v>
      </c>
      <c r="D73" s="21"/>
      <c r="E73" s="21"/>
      <c r="F73" s="22"/>
      <c r="G73" s="27" t="str">
        <f t="shared" si="7"/>
        <v/>
      </c>
      <c r="H73" s="27" t="str">
        <f t="shared" si="8"/>
        <v/>
      </c>
      <c r="I73" s="27" t="str">
        <f t="shared" si="9"/>
        <v/>
      </c>
      <c r="J73" s="28" t="str">
        <f t="shared" si="10"/>
        <v/>
      </c>
      <c r="K73" s="28" t="str">
        <f t="shared" si="11"/>
        <v/>
      </c>
      <c r="L73" s="28" t="str">
        <f t="shared" si="12"/>
        <v/>
      </c>
    </row>
    <row r="76" spans="3:12" ht="16.5" customHeight="1">
      <c r="C76" s="44" t="s">
        <v>203</v>
      </c>
    </row>
    <row r="77" spans="3:12"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spans="3:12"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3:12"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spans="3:12"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 spans="3:12">
      <c r="C81" s="55"/>
      <c r="D81" s="55"/>
      <c r="E81" s="55"/>
      <c r="F81" s="55"/>
      <c r="G81" s="55"/>
      <c r="H81" s="55"/>
      <c r="I81" s="55"/>
      <c r="J81" s="55"/>
      <c r="K81" s="55"/>
      <c r="L81" s="55"/>
    </row>
    <row r="82" spans="3:12">
      <c r="C82" s="55"/>
      <c r="D82" s="55"/>
      <c r="E82" s="55"/>
      <c r="F82" s="55"/>
      <c r="G82" s="55"/>
      <c r="H82" s="55"/>
      <c r="I82" s="55"/>
      <c r="J82" s="55"/>
      <c r="K82" s="55"/>
      <c r="L82" s="55"/>
    </row>
  </sheetData>
  <mergeCells count="1">
    <mergeCell ref="C77:L82"/>
  </mergeCells>
  <phoneticPr fontId="2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4"/>
  <sheetViews>
    <sheetView showGridLines="0" zoomScaleNormal="100" workbookViewId="0">
      <selection activeCell="C68" sqref="C68"/>
    </sheetView>
  </sheetViews>
  <sheetFormatPr defaultColWidth="8.7109375" defaultRowHeight="15"/>
  <cols>
    <col min="2" max="2" width="3" customWidth="1"/>
    <col min="3" max="3" width="36.42578125" customWidth="1"/>
    <col min="4" max="8" width="15" customWidth="1"/>
    <col min="9" max="9" width="77" customWidth="1"/>
  </cols>
  <sheetData>
    <row r="1" spans="2:9" ht="24.75" customHeight="1">
      <c r="B1" s="7" t="s">
        <v>115</v>
      </c>
    </row>
    <row r="2" spans="2:9">
      <c r="B2" s="1" t="s">
        <v>116</v>
      </c>
    </row>
    <row r="4" spans="2:9">
      <c r="C4" s="2" t="s">
        <v>117</v>
      </c>
    </row>
    <row r="5" spans="2:9" ht="15.75" customHeight="1">
      <c r="C5" s="43" t="s">
        <v>214</v>
      </c>
      <c r="D5" s="16" t="s">
        <v>118</v>
      </c>
      <c r="E5" s="16" t="s">
        <v>119</v>
      </c>
      <c r="F5" s="16" t="s">
        <v>120</v>
      </c>
      <c r="G5" s="16" t="s">
        <v>121</v>
      </c>
      <c r="H5" s="16" t="s">
        <v>122</v>
      </c>
      <c r="I5" s="3" t="s">
        <v>240</v>
      </c>
    </row>
    <row r="6" spans="2:9" ht="15.75" customHeight="1">
      <c r="C6" s="29" t="s">
        <v>215</v>
      </c>
      <c r="D6" s="30"/>
      <c r="E6" s="30"/>
      <c r="F6" s="30"/>
      <c r="G6" s="30"/>
      <c r="H6" s="30"/>
      <c r="I6" s="30"/>
    </row>
    <row r="7" spans="2:9" ht="15.75" customHeight="1">
      <c r="C7" s="47" t="s">
        <v>216</v>
      </c>
      <c r="D7" s="13"/>
      <c r="E7" s="13"/>
      <c r="F7" s="13"/>
      <c r="G7" s="13"/>
      <c r="H7" s="13"/>
      <c r="I7" s="49" t="s">
        <v>241</v>
      </c>
    </row>
    <row r="8" spans="2:9" ht="15.75" customHeight="1">
      <c r="C8" s="47" t="s">
        <v>217</v>
      </c>
      <c r="D8" s="13"/>
      <c r="E8" s="13"/>
      <c r="F8" s="13"/>
      <c r="G8" s="13"/>
      <c r="H8" s="13"/>
      <c r="I8" s="9"/>
    </row>
    <row r="9" spans="2:9" ht="15.75" customHeight="1">
      <c r="C9" s="47" t="s">
        <v>218</v>
      </c>
      <c r="D9" s="26">
        <f>D7+D8</f>
        <v>0</v>
      </c>
      <c r="E9" s="26">
        <f>E7+E8</f>
        <v>0</v>
      </c>
      <c r="F9" s="26">
        <f>F7+F8</f>
        <v>0</v>
      </c>
      <c r="G9" s="26">
        <f>G7+G8</f>
        <v>0</v>
      </c>
      <c r="H9" s="26">
        <f>H7+H8</f>
        <v>0</v>
      </c>
      <c r="I9" s="9"/>
    </row>
    <row r="10" spans="2:9" ht="15.75" customHeight="1">
      <c r="C10" s="47" t="s">
        <v>219</v>
      </c>
      <c r="D10" s="13"/>
      <c r="E10" s="13"/>
      <c r="F10" s="13"/>
      <c r="G10" s="13"/>
      <c r="H10" s="13"/>
      <c r="I10" s="9"/>
    </row>
    <row r="11" spans="2:9" ht="15.75" customHeight="1">
      <c r="C11" s="47" t="s">
        <v>220</v>
      </c>
      <c r="D11" s="13"/>
      <c r="E11" s="13"/>
      <c r="F11" s="13"/>
      <c r="G11" s="13"/>
      <c r="H11" s="13"/>
      <c r="I11" s="9"/>
    </row>
    <row r="12" spans="2:9" ht="15.75" customHeight="1">
      <c r="C12" s="47" t="s">
        <v>221</v>
      </c>
      <c r="D12" s="26">
        <f>D10+D11</f>
        <v>0</v>
      </c>
      <c r="E12" s="26">
        <f>E10+E11</f>
        <v>0</v>
      </c>
      <c r="F12" s="26">
        <f>F10+F11</f>
        <v>0</v>
      </c>
      <c r="G12" s="26">
        <f>G10+G11</f>
        <v>0</v>
      </c>
      <c r="H12" s="26">
        <f>H10+H11</f>
        <v>0</v>
      </c>
      <c r="I12" s="9"/>
    </row>
    <row r="13" spans="2:9" ht="15.75" customHeight="1">
      <c r="C13" s="47" t="s">
        <v>222</v>
      </c>
      <c r="D13" s="13"/>
      <c r="E13" s="13"/>
      <c r="F13" s="13"/>
      <c r="G13" s="13"/>
      <c r="H13" s="13"/>
      <c r="I13" s="9"/>
    </row>
    <row r="14" spans="2:9" ht="15.75" customHeight="1">
      <c r="C14" s="47" t="s">
        <v>223</v>
      </c>
      <c r="D14" s="13"/>
      <c r="E14" s="13"/>
      <c r="F14" s="13"/>
      <c r="G14" s="13"/>
      <c r="H14" s="13"/>
      <c r="I14" s="9"/>
    </row>
    <row r="15" spans="2:9" ht="15.75" customHeight="1">
      <c r="C15" s="47" t="s">
        <v>224</v>
      </c>
      <c r="D15" s="13"/>
      <c r="E15" s="13"/>
      <c r="F15" s="13"/>
      <c r="G15" s="13"/>
      <c r="H15" s="13"/>
      <c r="I15" s="9"/>
    </row>
    <row r="16" spans="2:9" ht="15.75" customHeight="1">
      <c r="C16" s="29" t="s">
        <v>225</v>
      </c>
      <c r="D16" s="30"/>
      <c r="E16" s="30"/>
      <c r="F16" s="30"/>
      <c r="G16" s="30"/>
      <c r="H16" s="30"/>
      <c r="I16" s="30"/>
    </row>
    <row r="17" spans="3:9" ht="15.75" customHeight="1">
      <c r="C17" s="47" t="s">
        <v>226</v>
      </c>
      <c r="D17" s="13"/>
      <c r="E17" s="13"/>
      <c r="F17" s="13"/>
      <c r="G17" s="13"/>
      <c r="H17" s="13"/>
      <c r="I17" s="49" t="s">
        <v>242</v>
      </c>
    </row>
    <row r="18" spans="3:9" ht="15.75" customHeight="1">
      <c r="C18" s="47" t="s">
        <v>227</v>
      </c>
      <c r="D18" s="13"/>
      <c r="E18" s="13"/>
      <c r="F18" s="13"/>
      <c r="G18" s="13"/>
      <c r="H18" s="13"/>
      <c r="I18" s="9"/>
    </row>
    <row r="19" spans="3:9" ht="15.75" customHeight="1">
      <c r="C19" s="47" t="s">
        <v>228</v>
      </c>
      <c r="D19" s="26">
        <f>D17-D18</f>
        <v>0</v>
      </c>
      <c r="E19" s="26">
        <f>E17-E18</f>
        <v>0</v>
      </c>
      <c r="F19" s="26">
        <f>F17-F18</f>
        <v>0</v>
      </c>
      <c r="G19" s="26">
        <f>G17-G18</f>
        <v>0</v>
      </c>
      <c r="H19" s="26">
        <f>H17-H18</f>
        <v>0</v>
      </c>
      <c r="I19" s="9"/>
    </row>
    <row r="20" spans="3:9" ht="15.75" customHeight="1">
      <c r="C20" s="47" t="s">
        <v>229</v>
      </c>
      <c r="D20" s="13"/>
      <c r="E20" s="13"/>
      <c r="F20" s="13"/>
      <c r="G20" s="13"/>
      <c r="H20" s="13"/>
      <c r="I20" s="9"/>
    </row>
    <row r="21" spans="3:9" ht="15.75" customHeight="1">
      <c r="C21" s="47" t="s">
        <v>230</v>
      </c>
      <c r="D21" s="26">
        <f>D19-D20</f>
        <v>0</v>
      </c>
      <c r="E21" s="26">
        <f>E19-E20</f>
        <v>0</v>
      </c>
      <c r="F21" s="26">
        <f>F19-F20</f>
        <v>0</v>
      </c>
      <c r="G21" s="26">
        <f>G19-G20</f>
        <v>0</v>
      </c>
      <c r="H21" s="26">
        <f>H19-H20</f>
        <v>0</v>
      </c>
      <c r="I21" s="9"/>
    </row>
    <row r="22" spans="3:9" ht="15.75" customHeight="1">
      <c r="C22" s="47" t="s">
        <v>231</v>
      </c>
      <c r="D22" s="13"/>
      <c r="E22" s="13"/>
      <c r="F22" s="13"/>
      <c r="G22" s="13"/>
      <c r="H22" s="13"/>
      <c r="I22" s="9"/>
    </row>
    <row r="23" spans="3:9" ht="15.75" customHeight="1">
      <c r="C23" s="47" t="s">
        <v>232</v>
      </c>
      <c r="D23" s="13"/>
      <c r="E23" s="13"/>
      <c r="F23" s="13"/>
      <c r="G23" s="13"/>
      <c r="H23" s="13"/>
      <c r="I23" s="9"/>
    </row>
    <row r="24" spans="3:9" ht="15.75" customHeight="1">
      <c r="C24" s="47" t="s">
        <v>233</v>
      </c>
      <c r="D24" s="13"/>
      <c r="E24" s="13"/>
      <c r="F24" s="13"/>
      <c r="G24" s="13"/>
      <c r="H24" s="13"/>
      <c r="I24" s="9"/>
    </row>
    <row r="25" spans="3:9" ht="15.75" customHeight="1">
      <c r="C25" s="29" t="s">
        <v>234</v>
      </c>
      <c r="D25" s="30"/>
      <c r="E25" s="30"/>
      <c r="F25" s="30"/>
      <c r="G25" s="30"/>
      <c r="H25" s="30"/>
      <c r="I25" s="30"/>
    </row>
    <row r="26" spans="3:9" ht="15.75" customHeight="1">
      <c r="C26" s="47" t="s">
        <v>235</v>
      </c>
      <c r="D26" s="13"/>
      <c r="E26" s="13"/>
      <c r="F26" s="13"/>
      <c r="G26" s="13"/>
      <c r="H26" s="13"/>
      <c r="I26" s="49" t="s">
        <v>243</v>
      </c>
    </row>
    <row r="27" spans="3:9" ht="15.75" customHeight="1">
      <c r="C27" s="47" t="s">
        <v>236</v>
      </c>
      <c r="D27" s="13"/>
      <c r="E27" s="13"/>
      <c r="F27" s="13"/>
      <c r="G27" s="13"/>
      <c r="H27" s="13"/>
      <c r="I27" s="9"/>
    </row>
    <row r="28" spans="3:9" ht="15.75" customHeight="1">
      <c r="C28" s="47" t="s">
        <v>237</v>
      </c>
      <c r="D28" s="13"/>
      <c r="E28" s="13"/>
      <c r="F28" s="13"/>
      <c r="G28" s="13"/>
      <c r="H28" s="13"/>
      <c r="I28" s="9"/>
    </row>
    <row r="29" spans="3:9" ht="15.75" customHeight="1">
      <c r="C29" s="46" t="s">
        <v>238</v>
      </c>
      <c r="D29" s="13"/>
      <c r="E29" s="13"/>
      <c r="F29" s="13"/>
      <c r="G29" s="13"/>
      <c r="H29" s="13"/>
      <c r="I29" s="9"/>
    </row>
    <row r="30" spans="3:9" ht="15.75" customHeight="1">
      <c r="C30" s="48" t="s">
        <v>239</v>
      </c>
      <c r="D30" s="31" t="str">
        <f>IF(AND(D9=0,D15=0),"미입력",IF(ABS(D9-(D12+D15))&lt;1,"OK","불일치"))</f>
        <v>미입력</v>
      </c>
      <c r="E30" s="31" t="str">
        <f>IF(AND(E9=0,E15=0),"미입력",IF(ABS(E9-(E12+E15))&lt;1,"OK","불일치"))</f>
        <v>미입력</v>
      </c>
      <c r="F30" s="31" t="str">
        <f>IF(AND(F9=0,F15=0),"미입력",IF(ABS(F9-(F12+F15))&lt;1,"OK","불일치"))</f>
        <v>미입력</v>
      </c>
      <c r="G30" s="31" t="str">
        <f>IF(AND(G9=0,G15=0),"미입력",IF(ABS(G9-(G12+G15))&lt;1,"OK","불일치"))</f>
        <v>미입력</v>
      </c>
      <c r="H30" s="31" t="str">
        <f>IF(AND(H9=0,H15=0),"미입력",IF(ABS(H9-(H12+H15))&lt;1,"OK","불일치"))</f>
        <v>미입력</v>
      </c>
      <c r="I30" s="32" t="s">
        <v>123</v>
      </c>
    </row>
    <row r="32" spans="3:9">
      <c r="C32" s="2" t="s">
        <v>124</v>
      </c>
    </row>
    <row r="33" spans="3:9" ht="15.75" customHeight="1">
      <c r="C33" s="43" t="s">
        <v>214</v>
      </c>
      <c r="D33" s="16" t="s">
        <v>118</v>
      </c>
      <c r="E33" s="16" t="s">
        <v>119</v>
      </c>
      <c r="F33" s="16" t="s">
        <v>120</v>
      </c>
      <c r="G33" s="16" t="s">
        <v>121</v>
      </c>
      <c r="H33" s="16" t="s">
        <v>122</v>
      </c>
      <c r="I33" s="43" t="s">
        <v>244</v>
      </c>
    </row>
    <row r="34" spans="3:9" ht="15.75" customHeight="1">
      <c r="C34" s="29" t="s">
        <v>215</v>
      </c>
      <c r="D34" s="30"/>
      <c r="E34" s="30"/>
      <c r="F34" s="30"/>
      <c r="G34" s="30"/>
      <c r="H34" s="30"/>
      <c r="I34" s="30"/>
    </row>
    <row r="35" spans="3:9" ht="15.75" customHeight="1">
      <c r="C35" s="47" t="s">
        <v>216</v>
      </c>
      <c r="D35" s="13"/>
      <c r="E35" s="13"/>
      <c r="F35" s="13"/>
      <c r="G35" s="13"/>
      <c r="H35" s="13"/>
      <c r="I35" s="9"/>
    </row>
    <row r="36" spans="3:9" ht="15.75" customHeight="1">
      <c r="C36" s="47" t="s">
        <v>217</v>
      </c>
      <c r="D36" s="13"/>
      <c r="E36" s="13"/>
      <c r="F36" s="13"/>
      <c r="G36" s="13"/>
      <c r="H36" s="13"/>
      <c r="I36" s="9"/>
    </row>
    <row r="37" spans="3:9" ht="15.75" customHeight="1">
      <c r="C37" s="47" t="s">
        <v>218</v>
      </c>
      <c r="D37" s="26">
        <f>D35+D36</f>
        <v>0</v>
      </c>
      <c r="E37" s="26">
        <f>E35+E36</f>
        <v>0</v>
      </c>
      <c r="F37" s="26">
        <f>F35+F36</f>
        <v>0</v>
      </c>
      <c r="G37" s="26">
        <f>G35+G36</f>
        <v>0</v>
      </c>
      <c r="H37" s="26">
        <f>H35+H36</f>
        <v>0</v>
      </c>
      <c r="I37" s="9"/>
    </row>
    <row r="38" spans="3:9" ht="15.75" customHeight="1">
      <c r="C38" s="47" t="s">
        <v>219</v>
      </c>
      <c r="D38" s="13"/>
      <c r="E38" s="13"/>
      <c r="F38" s="13"/>
      <c r="G38" s="13"/>
      <c r="H38" s="13"/>
      <c r="I38" s="9"/>
    </row>
    <row r="39" spans="3:9" ht="15.75" customHeight="1">
      <c r="C39" s="47" t="s">
        <v>220</v>
      </c>
      <c r="D39" s="13"/>
      <c r="E39" s="13"/>
      <c r="F39" s="13"/>
      <c r="G39" s="13"/>
      <c r="H39" s="13"/>
      <c r="I39" s="9"/>
    </row>
    <row r="40" spans="3:9" ht="15.75" customHeight="1">
      <c r="C40" s="47" t="s">
        <v>221</v>
      </c>
      <c r="D40" s="26">
        <f>D38+D39</f>
        <v>0</v>
      </c>
      <c r="E40" s="26">
        <f>E38+E39</f>
        <v>0</v>
      </c>
      <c r="F40" s="26">
        <f>F38+F39</f>
        <v>0</v>
      </c>
      <c r="G40" s="26">
        <f>G38+G39</f>
        <v>0</v>
      </c>
      <c r="H40" s="26">
        <f>H38+H39</f>
        <v>0</v>
      </c>
      <c r="I40" s="9"/>
    </row>
    <row r="41" spans="3:9" ht="15.75" customHeight="1">
      <c r="C41" s="47" t="s">
        <v>222</v>
      </c>
      <c r="D41" s="13"/>
      <c r="E41" s="13"/>
      <c r="F41" s="13"/>
      <c r="G41" s="13"/>
      <c r="H41" s="13"/>
      <c r="I41" s="9"/>
    </row>
    <row r="42" spans="3:9" ht="15.75" customHeight="1">
      <c r="C42" s="47" t="s">
        <v>223</v>
      </c>
      <c r="D42" s="13"/>
      <c r="E42" s="13"/>
      <c r="F42" s="13"/>
      <c r="G42" s="13"/>
      <c r="H42" s="13"/>
      <c r="I42" s="9"/>
    </row>
    <row r="43" spans="3:9" ht="15.75" customHeight="1">
      <c r="C43" s="47" t="s">
        <v>224</v>
      </c>
      <c r="D43" s="13"/>
      <c r="E43" s="13"/>
      <c r="F43" s="13"/>
      <c r="G43" s="13"/>
      <c r="H43" s="13"/>
      <c r="I43" s="9"/>
    </row>
    <row r="44" spans="3:9" ht="15.75" customHeight="1">
      <c r="C44" s="29" t="s">
        <v>225</v>
      </c>
      <c r="D44" s="30"/>
      <c r="E44" s="30"/>
      <c r="F44" s="30"/>
      <c r="G44" s="30"/>
      <c r="H44" s="30"/>
      <c r="I44" s="30"/>
    </row>
    <row r="45" spans="3:9" ht="15.75" customHeight="1">
      <c r="C45" s="47" t="s">
        <v>226</v>
      </c>
      <c r="D45" s="13"/>
      <c r="E45" s="13"/>
      <c r="F45" s="13"/>
      <c r="G45" s="13"/>
      <c r="H45" s="13"/>
      <c r="I45" s="9"/>
    </row>
    <row r="46" spans="3:9" ht="15.75" customHeight="1">
      <c r="C46" s="47" t="s">
        <v>227</v>
      </c>
      <c r="D46" s="13"/>
      <c r="E46" s="13"/>
      <c r="F46" s="13"/>
      <c r="G46" s="13"/>
      <c r="H46" s="13"/>
      <c r="I46" s="9"/>
    </row>
    <row r="47" spans="3:9" ht="15.75" customHeight="1">
      <c r="C47" s="47" t="s">
        <v>228</v>
      </c>
      <c r="D47" s="26">
        <f>D45-D46</f>
        <v>0</v>
      </c>
      <c r="E47" s="26">
        <f>E45-E46</f>
        <v>0</v>
      </c>
      <c r="F47" s="26">
        <f>F45-F46</f>
        <v>0</v>
      </c>
      <c r="G47" s="26">
        <f>G45-G46</f>
        <v>0</v>
      </c>
      <c r="H47" s="26">
        <f>H45-H46</f>
        <v>0</v>
      </c>
      <c r="I47" s="9"/>
    </row>
    <row r="48" spans="3:9" ht="15.75" customHeight="1">
      <c r="C48" s="47" t="s">
        <v>229</v>
      </c>
      <c r="D48" s="13"/>
      <c r="E48" s="13"/>
      <c r="F48" s="13"/>
      <c r="G48" s="13"/>
      <c r="H48" s="13"/>
      <c r="I48" s="9"/>
    </row>
    <row r="49" spans="3:9" ht="15.75" customHeight="1">
      <c r="C49" s="47" t="s">
        <v>230</v>
      </c>
      <c r="D49" s="26">
        <f>D47-D48</f>
        <v>0</v>
      </c>
      <c r="E49" s="26">
        <f>E47-E48</f>
        <v>0</v>
      </c>
      <c r="F49" s="26">
        <f>F47-F48</f>
        <v>0</v>
      </c>
      <c r="G49" s="26">
        <f>G47-G48</f>
        <v>0</v>
      </c>
      <c r="H49" s="26">
        <f>H47-H48</f>
        <v>0</v>
      </c>
      <c r="I49" s="9"/>
    </row>
    <row r="50" spans="3:9" ht="15.75" customHeight="1">
      <c r="C50" s="47" t="s">
        <v>231</v>
      </c>
      <c r="D50" s="13"/>
      <c r="E50" s="13"/>
      <c r="F50" s="13"/>
      <c r="G50" s="13"/>
      <c r="H50" s="13"/>
      <c r="I50" s="9"/>
    </row>
    <row r="51" spans="3:9" ht="15.75" customHeight="1">
      <c r="C51" s="47" t="s">
        <v>232</v>
      </c>
      <c r="D51" s="13"/>
      <c r="E51" s="13"/>
      <c r="F51" s="13"/>
      <c r="G51" s="13"/>
      <c r="H51" s="13"/>
      <c r="I51" s="9"/>
    </row>
    <row r="52" spans="3:9" ht="15.75" customHeight="1">
      <c r="C52" s="47" t="s">
        <v>233</v>
      </c>
      <c r="D52" s="13"/>
      <c r="E52" s="13"/>
      <c r="F52" s="13"/>
      <c r="G52" s="13"/>
      <c r="H52" s="13"/>
      <c r="I52" s="9"/>
    </row>
    <row r="53" spans="3:9" ht="15.75" customHeight="1">
      <c r="C53" s="29" t="s">
        <v>234</v>
      </c>
      <c r="D53" s="30"/>
      <c r="E53" s="30"/>
      <c r="F53" s="30"/>
      <c r="G53" s="30"/>
      <c r="H53" s="30"/>
      <c r="I53" s="30"/>
    </row>
    <row r="54" spans="3:9" ht="15.75" customHeight="1">
      <c r="C54" s="47" t="s">
        <v>235</v>
      </c>
      <c r="D54" s="13"/>
      <c r="E54" s="13"/>
      <c r="F54" s="13"/>
      <c r="G54" s="13"/>
      <c r="H54" s="13"/>
      <c r="I54" s="9"/>
    </row>
    <row r="55" spans="3:9" ht="15.75" customHeight="1">
      <c r="C55" s="47" t="s">
        <v>236</v>
      </c>
      <c r="D55" s="13"/>
      <c r="E55" s="13"/>
      <c r="F55" s="13"/>
      <c r="G55" s="13"/>
      <c r="H55" s="13"/>
      <c r="I55" s="9"/>
    </row>
    <row r="56" spans="3:9" ht="15.75" customHeight="1">
      <c r="C56" s="47" t="s">
        <v>237</v>
      </c>
      <c r="D56" s="13"/>
      <c r="E56" s="13"/>
      <c r="F56" s="13"/>
      <c r="G56" s="13"/>
      <c r="H56" s="13"/>
      <c r="I56" s="9"/>
    </row>
    <row r="57" spans="3:9" ht="15.75" customHeight="1">
      <c r="C57" s="46" t="s">
        <v>238</v>
      </c>
      <c r="D57" s="13"/>
      <c r="E57" s="13"/>
      <c r="F57" s="13"/>
      <c r="G57" s="13"/>
      <c r="H57" s="13"/>
      <c r="I57" s="9"/>
    </row>
    <row r="58" spans="3:9" ht="15.75" customHeight="1">
      <c r="C58" s="48" t="s">
        <v>239</v>
      </c>
      <c r="D58" s="31" t="str">
        <f>IF(AND(D37=0,D43=0),"미입력",IF(ABS(D37-(D40+D43))&lt;1,"OK","불일치"))</f>
        <v>미입력</v>
      </c>
      <c r="E58" s="31" t="str">
        <f>IF(AND(E37=0,E43=0),"미입력",IF(ABS(E37-(E40+E43))&lt;1,"OK","불일치"))</f>
        <v>미입력</v>
      </c>
      <c r="F58" s="31" t="str">
        <f>IF(AND(F37=0,F43=0),"미입력",IF(ABS(F37-(F40+F43))&lt;1,"OK","불일치"))</f>
        <v>미입력</v>
      </c>
      <c r="G58" s="31" t="str">
        <f>IF(AND(G37=0,G43=0),"미입력",IF(ABS(G37-(G40+G43))&lt;1,"OK","불일치"))</f>
        <v>미입력</v>
      </c>
      <c r="H58" s="31" t="str">
        <f>IF(AND(H37=0,H43=0),"미입력",IF(ABS(H37-(H40+H43))&lt;1,"OK","불일치"))</f>
        <v>미입력</v>
      </c>
      <c r="I58" s="32" t="s">
        <v>123</v>
      </c>
    </row>
    <row r="60" spans="3:9" ht="16.5">
      <c r="C60" s="44" t="s">
        <v>245</v>
      </c>
    </row>
    <row r="61" spans="3:9" ht="15.75" customHeight="1">
      <c r="C61" s="46" t="s">
        <v>246</v>
      </c>
      <c r="D61" s="56"/>
      <c r="E61" s="56"/>
      <c r="F61" s="56"/>
      <c r="G61" s="56"/>
      <c r="H61" s="56"/>
      <c r="I61" s="56"/>
    </row>
    <row r="62" spans="3:9" ht="15.75" customHeight="1">
      <c r="C62" s="46" t="s">
        <v>247</v>
      </c>
      <c r="D62" s="56"/>
      <c r="E62" s="56"/>
      <c r="F62" s="56"/>
      <c r="G62" s="56"/>
      <c r="H62" s="56"/>
      <c r="I62" s="56"/>
    </row>
    <row r="63" spans="3:9" ht="15.75" customHeight="1">
      <c r="C63" s="47" t="s">
        <v>248</v>
      </c>
      <c r="D63" s="57"/>
      <c r="E63" s="57"/>
      <c r="F63" s="57"/>
      <c r="G63" s="57"/>
      <c r="H63" s="57"/>
      <c r="I63" s="57"/>
    </row>
    <row r="64" spans="3:9" ht="15.75" customHeight="1">
      <c r="C64" s="46" t="s">
        <v>249</v>
      </c>
      <c r="D64" s="56"/>
      <c r="E64" s="56"/>
      <c r="F64" s="56"/>
      <c r="G64" s="56"/>
      <c r="H64" s="56"/>
      <c r="I64" s="56"/>
    </row>
  </sheetData>
  <mergeCells count="4">
    <mergeCell ref="D61:I61"/>
    <mergeCell ref="D62:I62"/>
    <mergeCell ref="D63:I63"/>
    <mergeCell ref="D64:I64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5"/>
  <sheetViews>
    <sheetView showGridLines="0" zoomScaleNormal="100" workbookViewId="0">
      <selection activeCell="F15" sqref="F15"/>
    </sheetView>
  </sheetViews>
  <sheetFormatPr defaultColWidth="8.7109375" defaultRowHeight="15"/>
  <cols>
    <col min="2" max="2" width="3" customWidth="1"/>
    <col min="3" max="3" width="24" customWidth="1"/>
    <col min="4" max="5" width="46" customWidth="1"/>
  </cols>
  <sheetData>
    <row r="1" spans="2:5" ht="24.75" customHeight="1">
      <c r="B1" s="7" t="s">
        <v>250</v>
      </c>
    </row>
    <row r="2" spans="2:5">
      <c r="B2" s="1" t="s">
        <v>125</v>
      </c>
    </row>
    <row r="4" spans="2:5">
      <c r="C4" s="43" t="s">
        <v>253</v>
      </c>
      <c r="D4" s="43" t="s">
        <v>251</v>
      </c>
      <c r="E4" s="43" t="s">
        <v>252</v>
      </c>
    </row>
    <row r="5" spans="2:5" ht="117.75" customHeight="1">
      <c r="C5" s="45" t="s">
        <v>254</v>
      </c>
      <c r="D5" s="33"/>
      <c r="E5" s="33"/>
    </row>
    <row r="6" spans="2:5" ht="117.75" customHeight="1">
      <c r="C6" s="45" t="s">
        <v>255</v>
      </c>
      <c r="D6" s="33"/>
      <c r="E6" s="33"/>
    </row>
    <row r="7" spans="2:5" ht="117.75" customHeight="1">
      <c r="C7" s="45" t="s">
        <v>256</v>
      </c>
      <c r="D7" s="33"/>
      <c r="E7" s="33"/>
    </row>
    <row r="8" spans="2:5" ht="117.75" customHeight="1">
      <c r="C8" s="45" t="s">
        <v>257</v>
      </c>
      <c r="D8" s="33"/>
      <c r="E8" s="33"/>
    </row>
    <row r="9" spans="2:5" ht="117.75" customHeight="1">
      <c r="C9" s="45" t="s">
        <v>260</v>
      </c>
      <c r="D9" s="33"/>
      <c r="E9" s="33"/>
    </row>
    <row r="10" spans="2:5" ht="117.75" customHeight="1">
      <c r="C10" s="45" t="s">
        <v>259</v>
      </c>
      <c r="D10" s="33"/>
      <c r="E10" s="33"/>
    </row>
    <row r="11" spans="2:5" ht="117.75" customHeight="1">
      <c r="C11" s="45" t="s">
        <v>258</v>
      </c>
      <c r="D11" s="33"/>
      <c r="E11" s="33"/>
    </row>
    <row r="12" spans="2:5" ht="117.75" customHeight="1">
      <c r="C12" s="45" t="s">
        <v>261</v>
      </c>
      <c r="D12" s="33"/>
      <c r="E12" s="33"/>
    </row>
    <row r="15" spans="2:5" ht="16.5" customHeight="1">
      <c r="C15" s="44" t="s">
        <v>262</v>
      </c>
    </row>
    <row r="16" spans="2:5" ht="61.5" customHeight="1">
      <c r="C16" s="58"/>
      <c r="D16" s="58"/>
      <c r="E16" s="58"/>
    </row>
    <row r="17" spans="3:5" ht="61.5" customHeight="1">
      <c r="C17" s="58"/>
      <c r="D17" s="58"/>
      <c r="E17" s="58"/>
    </row>
    <row r="18" spans="3:5" ht="61.5" customHeight="1">
      <c r="C18" s="58"/>
      <c r="D18" s="58"/>
      <c r="E18" s="58"/>
    </row>
    <row r="19" spans="3:5" ht="61.5" customHeight="1">
      <c r="C19" s="58"/>
      <c r="D19" s="58"/>
      <c r="E19" s="58"/>
    </row>
    <row r="20" spans="3:5" ht="61.5" customHeight="1">
      <c r="C20" s="58"/>
      <c r="D20" s="58"/>
      <c r="E20" s="58"/>
    </row>
    <row r="21" spans="3:5" ht="61.5" customHeight="1">
      <c r="C21" s="58"/>
      <c r="D21" s="58"/>
      <c r="E21" s="58"/>
    </row>
    <row r="22" spans="3:5" ht="61.5" customHeight="1">
      <c r="C22" s="58"/>
      <c r="D22" s="58"/>
      <c r="E22" s="58"/>
    </row>
    <row r="23" spans="3:5" ht="61.5" customHeight="1">
      <c r="C23" s="58"/>
      <c r="D23" s="58"/>
      <c r="E23" s="58"/>
    </row>
    <row r="24" spans="3:5" ht="61.5" customHeight="1">
      <c r="C24" s="58"/>
      <c r="D24" s="58"/>
      <c r="E24" s="58"/>
    </row>
    <row r="25" spans="3:5" ht="61.5" customHeight="1">
      <c r="C25" s="58"/>
      <c r="D25" s="58"/>
      <c r="E25" s="58"/>
    </row>
  </sheetData>
  <mergeCells count="1">
    <mergeCell ref="C16:E25"/>
  </mergeCells>
  <phoneticPr fontId="2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1160-14AC-4AF9-9EE5-4F24FC4BCB98}">
  <dimension ref="A1"/>
  <sheetViews>
    <sheetView workbookViewId="0">
      <selection activeCell="N58" sqref="N58"/>
    </sheetView>
  </sheetViews>
  <sheetFormatPr defaultRowHeight="15"/>
  <sheetData/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E82A-78B8-4111-AFBF-A914B6CB0551}">
  <dimension ref="A1"/>
  <sheetViews>
    <sheetView workbookViewId="0">
      <selection activeCell="N31" sqref="N31"/>
    </sheetView>
  </sheetViews>
  <sheetFormatPr defaultRowHeight="15"/>
  <sheetData/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4"/>
  <sheetViews>
    <sheetView showGridLines="0" zoomScaleNormal="100" workbookViewId="0">
      <selection activeCell="D21" sqref="D21"/>
    </sheetView>
  </sheetViews>
  <sheetFormatPr defaultColWidth="8.7109375" defaultRowHeight="15"/>
  <cols>
    <col min="2" max="2" width="3" customWidth="1"/>
    <col min="3" max="3" width="10" customWidth="1"/>
    <col min="4" max="4" width="66" customWidth="1"/>
    <col min="5" max="5" width="12" customWidth="1"/>
  </cols>
  <sheetData>
    <row r="1" spans="2:5" ht="20.25" customHeight="1">
      <c r="B1" s="38" t="s">
        <v>263</v>
      </c>
    </row>
    <row r="2" spans="2:5">
      <c r="B2" s="1" t="s">
        <v>126</v>
      </c>
    </row>
    <row r="4" spans="2:5">
      <c r="C4" s="16" t="s">
        <v>264</v>
      </c>
      <c r="D4" s="43" t="s">
        <v>265</v>
      </c>
      <c r="E4" s="16" t="s">
        <v>266</v>
      </c>
    </row>
    <row r="5" spans="2:5" ht="15.75" customHeight="1">
      <c r="C5" s="20" t="s">
        <v>267</v>
      </c>
      <c r="D5" s="37" t="s">
        <v>273</v>
      </c>
      <c r="E5" s="35"/>
    </row>
    <row r="6" spans="2:5" ht="15.75" customHeight="1">
      <c r="C6" s="20" t="s">
        <v>267</v>
      </c>
      <c r="D6" s="37" t="s">
        <v>274</v>
      </c>
      <c r="E6" s="35"/>
    </row>
    <row r="7" spans="2:5" ht="15.75" customHeight="1">
      <c r="C7" s="20" t="s">
        <v>268</v>
      </c>
      <c r="D7" s="50" t="s">
        <v>275</v>
      </c>
      <c r="E7" s="35"/>
    </row>
    <row r="8" spans="2:5" ht="15.75" customHeight="1">
      <c r="C8" s="20" t="s">
        <v>269</v>
      </c>
      <c r="D8" s="5" t="s">
        <v>276</v>
      </c>
      <c r="E8" s="35"/>
    </row>
    <row r="9" spans="2:5" ht="15.75" customHeight="1">
      <c r="C9" s="20" t="s">
        <v>270</v>
      </c>
      <c r="D9" s="5" t="s">
        <v>277</v>
      </c>
      <c r="E9" s="35"/>
    </row>
    <row r="10" spans="2:5" ht="15.75" customHeight="1">
      <c r="C10" s="20" t="s">
        <v>268</v>
      </c>
      <c r="D10" s="5" t="s">
        <v>278</v>
      </c>
      <c r="E10" s="35"/>
    </row>
    <row r="11" spans="2:5" ht="15.75" customHeight="1">
      <c r="C11" s="20" t="s">
        <v>271</v>
      </c>
      <c r="D11" s="37" t="s">
        <v>279</v>
      </c>
      <c r="E11" s="35"/>
    </row>
    <row r="12" spans="2:5" ht="15.75" customHeight="1">
      <c r="C12" s="20" t="s">
        <v>272</v>
      </c>
      <c r="D12" s="37" t="s">
        <v>280</v>
      </c>
      <c r="E12" s="35"/>
    </row>
    <row r="13" spans="2:5" ht="15.75" customHeight="1">
      <c r="C13" s="20" t="s">
        <v>272</v>
      </c>
      <c r="D13" s="37" t="s">
        <v>281</v>
      </c>
      <c r="E13" s="35"/>
    </row>
    <row r="14" spans="2:5">
      <c r="D14" s="51" t="s">
        <v>282</v>
      </c>
      <c r="E14" s="34" t="str">
        <f>COUNTIF(E5:E13,"O")&amp;" / 9"</f>
        <v>0 / 9</v>
      </c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00_사용안내</vt:lpstr>
      <vt:lpstr>01_기업선정</vt:lpstr>
      <vt:lpstr>02_기업개요비교</vt:lpstr>
      <vt:lpstr>03_주가추이</vt:lpstr>
      <vt:lpstr>04_재무제표수집</vt:lpstr>
      <vt:lpstr>05_보고서비교</vt:lpstr>
      <vt:lpstr>06_애널리스트 보고서</vt:lpstr>
      <vt:lpstr>07_신용평가 보고서</vt:lpstr>
      <vt:lpstr>08_제출체크리스트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이상민</cp:lastModifiedBy>
  <cp:revision>3</cp:revision>
  <dcterms:created xsi:type="dcterms:W3CDTF">2026-08-02T06:19:31Z</dcterms:created>
  <dcterms:modified xsi:type="dcterms:W3CDTF">2026-09-09T10:19:19Z</dcterms:modified>
  <dc:language>en-US</dc:language>
</cp:coreProperties>
</file>