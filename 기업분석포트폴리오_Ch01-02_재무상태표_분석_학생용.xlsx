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harts/chart2.xml" ContentType="application/vnd.openxmlformats-officedocument.drawingml.chart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회계정보와의사결정\"/>
    </mc:Choice>
  </mc:AlternateContent>
  <xr:revisionPtr revIDLastSave="0" documentId="13_ncr:1_{5D9F1704-E620-454D-9864-024AEE768ED0}" xr6:coauthVersionLast="47" xr6:coauthVersionMax="47" xr10:uidLastSave="{00000000-0000-0000-0000-000000000000}"/>
  <bookViews>
    <workbookView xWindow="-105" yWindow="0" windowWidth="14610" windowHeight="15585" tabRatio="848" firstSheet="1" activeTab="8" xr2:uid="{00000000-000D-0000-FFFF-FFFF00000000}"/>
  </bookViews>
  <sheets>
    <sheet name="00_사용안내" sheetId="1" r:id="rId1"/>
    <sheet name="1-1_기업선정" sheetId="2" r:id="rId2"/>
    <sheet name="1-2_기업개요비교" sheetId="3" r:id="rId3"/>
    <sheet name="1-3_주가추이_월별" sheetId="4" r:id="rId4"/>
    <sheet name="1-4_보고서비교" sheetId="5" r:id="rId5"/>
    <sheet name="1-5_애널리스트보고서" sheetId="6" r:id="rId6"/>
    <sheet name="1-6_신용평가보고서" sheetId="7" r:id="rId7"/>
    <sheet name="2-0_왜_이_실습인가" sheetId="8" r:id="rId8"/>
    <sheet name="2-1_재무상태표" sheetId="9" r:id="rId9"/>
    <sheet name="2-2_공통형_해석" sheetId="10" r:id="rId10"/>
    <sheet name="2-3_PBR_비교" sheetId="11" r:id="rId11"/>
    <sheet name="3-1_손익계산서" sheetId="14" r:id="rId12"/>
    <sheet name="제출체크리스트" sheetId="2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25" i="14" l="1"/>
  <c r="V25" i="14"/>
  <c r="U25" i="14"/>
  <c r="E12" i="23"/>
  <c r="D15" i="14"/>
  <c r="D18" i="14"/>
  <c r="AK42" i="9"/>
  <c r="D8" i="11"/>
  <c r="AF38" i="14" l="1"/>
  <c r="AE38" i="14"/>
  <c r="AD38" i="14"/>
  <c r="AC38" i="14"/>
  <c r="AB38" i="14"/>
  <c r="Y38" i="14"/>
  <c r="X38" i="14"/>
  <c r="W38" i="14"/>
  <c r="V38" i="14"/>
  <c r="U38" i="14"/>
  <c r="AF36" i="14"/>
  <c r="AE36" i="14"/>
  <c r="AD36" i="14"/>
  <c r="AC36" i="14"/>
  <c r="AB36" i="14"/>
  <c r="Y36" i="14"/>
  <c r="X36" i="14"/>
  <c r="W36" i="14"/>
  <c r="V36" i="14"/>
  <c r="U36" i="14"/>
  <c r="AF35" i="14"/>
  <c r="AE35" i="14"/>
  <c r="AD35" i="14"/>
  <c r="AC35" i="14"/>
  <c r="AB35" i="14"/>
  <c r="Y35" i="14"/>
  <c r="X35" i="14"/>
  <c r="W35" i="14"/>
  <c r="V35" i="14"/>
  <c r="U35" i="14"/>
  <c r="AF33" i="14"/>
  <c r="AE33" i="14"/>
  <c r="AD33" i="14"/>
  <c r="AC33" i="14"/>
  <c r="AB33" i="14"/>
  <c r="Y33" i="14"/>
  <c r="X33" i="14"/>
  <c r="W33" i="14"/>
  <c r="V33" i="14"/>
  <c r="U33" i="14"/>
  <c r="AF31" i="14"/>
  <c r="AE31" i="14"/>
  <c r="AD31" i="14"/>
  <c r="AC31" i="14"/>
  <c r="AB31" i="14"/>
  <c r="Y31" i="14"/>
  <c r="X31" i="14"/>
  <c r="W31" i="14"/>
  <c r="V31" i="14"/>
  <c r="U31" i="14"/>
  <c r="AF30" i="14"/>
  <c r="AE30" i="14"/>
  <c r="AD30" i="14"/>
  <c r="AC30" i="14"/>
  <c r="AB30" i="14"/>
  <c r="Y30" i="14"/>
  <c r="X30" i="14"/>
  <c r="W30" i="14"/>
  <c r="V30" i="14"/>
  <c r="U30" i="14"/>
  <c r="AF28" i="14"/>
  <c r="AE28" i="14"/>
  <c r="AD28" i="14"/>
  <c r="AC28" i="14"/>
  <c r="AB28" i="14"/>
  <c r="Y28" i="14"/>
  <c r="X28" i="14"/>
  <c r="W28" i="14"/>
  <c r="V28" i="14"/>
  <c r="U28" i="14"/>
  <c r="AF26" i="14"/>
  <c r="AE26" i="14"/>
  <c r="AD26" i="14"/>
  <c r="AC26" i="14"/>
  <c r="AB26" i="14"/>
  <c r="Y26" i="14"/>
  <c r="X26" i="14"/>
  <c r="W26" i="14"/>
  <c r="V26" i="14"/>
  <c r="U26" i="14"/>
  <c r="AF25" i="14"/>
  <c r="AE25" i="14"/>
  <c r="AD25" i="14"/>
  <c r="AC25" i="14"/>
  <c r="AB25" i="14"/>
  <c r="Y25" i="14"/>
  <c r="X25" i="14"/>
  <c r="AB18" i="14"/>
  <c r="T18" i="14"/>
  <c r="P18" i="14"/>
  <c r="AF18" i="14" s="1"/>
  <c r="O18" i="14"/>
  <c r="AE18" i="14" s="1"/>
  <c r="N18" i="14"/>
  <c r="AD18" i="14" s="1"/>
  <c r="M18" i="14"/>
  <c r="AC18" i="14" s="1"/>
  <c r="L18" i="14"/>
  <c r="K18" i="14"/>
  <c r="AA18" i="14" s="1"/>
  <c r="I18" i="14"/>
  <c r="Y18" i="14" s="1"/>
  <c r="H18" i="14"/>
  <c r="X18" i="14" s="1"/>
  <c r="G18" i="14"/>
  <c r="W18" i="14" s="1"/>
  <c r="F18" i="14"/>
  <c r="V18" i="14" s="1"/>
  <c r="E18" i="14"/>
  <c r="U18" i="14" s="1"/>
  <c r="AF17" i="14"/>
  <c r="AE17" i="14"/>
  <c r="AD17" i="14"/>
  <c r="AC17" i="14"/>
  <c r="AB17" i="14"/>
  <c r="AA17" i="14"/>
  <c r="Y17" i="14"/>
  <c r="X17" i="14"/>
  <c r="W17" i="14"/>
  <c r="V17" i="14"/>
  <c r="U17" i="14"/>
  <c r="T17" i="14"/>
  <c r="AF16" i="14"/>
  <c r="AE16" i="14"/>
  <c r="AD16" i="14"/>
  <c r="AC16" i="14"/>
  <c r="AB16" i="14"/>
  <c r="AA16" i="14"/>
  <c r="Y16" i="14"/>
  <c r="X16" i="14"/>
  <c r="W16" i="14"/>
  <c r="V16" i="14"/>
  <c r="U16" i="14"/>
  <c r="T16" i="14"/>
  <c r="AB15" i="14"/>
  <c r="AA15" i="14"/>
  <c r="P15" i="14"/>
  <c r="O15" i="14"/>
  <c r="AE15" i="14" s="1"/>
  <c r="N15" i="14"/>
  <c r="M15" i="14"/>
  <c r="L15" i="14"/>
  <c r="K15" i="14"/>
  <c r="I15" i="14"/>
  <c r="Y15" i="14" s="1"/>
  <c r="H15" i="14"/>
  <c r="G15" i="14"/>
  <c r="F15" i="14"/>
  <c r="E15" i="14"/>
  <c r="U15" i="14" s="1"/>
  <c r="T15" i="14"/>
  <c r="AF14" i="14"/>
  <c r="AE14" i="14"/>
  <c r="AD14" i="14"/>
  <c r="AC14" i="14"/>
  <c r="AB14" i="14"/>
  <c r="AA14" i="14"/>
  <c r="Y14" i="14"/>
  <c r="X14" i="14"/>
  <c r="W14" i="14"/>
  <c r="V14" i="14"/>
  <c r="U14" i="14"/>
  <c r="T14" i="14"/>
  <c r="AF12" i="14"/>
  <c r="AE12" i="14"/>
  <c r="AD12" i="14"/>
  <c r="AC12" i="14"/>
  <c r="AB12" i="14"/>
  <c r="AA12" i="14"/>
  <c r="Y12" i="14"/>
  <c r="X12" i="14"/>
  <c r="W12" i="14"/>
  <c r="V12" i="14"/>
  <c r="U12" i="14"/>
  <c r="T12" i="14"/>
  <c r="AF11" i="14"/>
  <c r="AE11" i="14"/>
  <c r="AD11" i="14"/>
  <c r="AC11" i="14"/>
  <c r="AB11" i="14"/>
  <c r="AA11" i="14"/>
  <c r="Y11" i="14"/>
  <c r="X11" i="14"/>
  <c r="W11" i="14"/>
  <c r="V11" i="14"/>
  <c r="U11" i="14"/>
  <c r="T11" i="14"/>
  <c r="AF9" i="14"/>
  <c r="AE9" i="14"/>
  <c r="AD9" i="14"/>
  <c r="AC9" i="14"/>
  <c r="AB9" i="14"/>
  <c r="AA9" i="14"/>
  <c r="Y9" i="14"/>
  <c r="X9" i="14"/>
  <c r="W9" i="14"/>
  <c r="V9" i="14"/>
  <c r="U9" i="14"/>
  <c r="T9" i="14"/>
  <c r="P8" i="14"/>
  <c r="O8" i="14"/>
  <c r="N8" i="14"/>
  <c r="M8" i="14"/>
  <c r="M10" i="14" s="1"/>
  <c r="M13" i="14" s="1"/>
  <c r="AC13" i="14" s="1"/>
  <c r="L8" i="14"/>
  <c r="L10" i="14" s="1"/>
  <c r="K8" i="14"/>
  <c r="K10" i="14" s="1"/>
  <c r="AA10" i="14" s="1"/>
  <c r="I8" i="14"/>
  <c r="I10" i="14" s="1"/>
  <c r="I13" i="14" s="1"/>
  <c r="Y13" i="14" s="1"/>
  <c r="H8" i="14"/>
  <c r="H10" i="14" s="1"/>
  <c r="G8" i="14"/>
  <c r="F8" i="14"/>
  <c r="E8" i="14"/>
  <c r="D8" i="14"/>
  <c r="T8" i="14" s="1"/>
  <c r="AF7" i="14"/>
  <c r="AE7" i="14"/>
  <c r="AD7" i="14"/>
  <c r="AC7" i="14"/>
  <c r="AB7" i="14"/>
  <c r="AA7" i="14"/>
  <c r="Y7" i="14"/>
  <c r="X7" i="14"/>
  <c r="W7" i="14"/>
  <c r="V7" i="14"/>
  <c r="U7" i="14"/>
  <c r="T7" i="14"/>
  <c r="AF6" i="14"/>
  <c r="AE6" i="14"/>
  <c r="AD6" i="14"/>
  <c r="AC6" i="14"/>
  <c r="AB6" i="14"/>
  <c r="AA6" i="14"/>
  <c r="Y6" i="14"/>
  <c r="X6" i="14"/>
  <c r="W6" i="14"/>
  <c r="V6" i="14"/>
  <c r="U6" i="14"/>
  <c r="T6" i="14"/>
  <c r="P12" i="11"/>
  <c r="P14" i="11" s="1"/>
  <c r="O12" i="11"/>
  <c r="O14" i="11" s="1"/>
  <c r="N12" i="11"/>
  <c r="N14" i="11" s="1"/>
  <c r="M12" i="11"/>
  <c r="M14" i="11" s="1"/>
  <c r="L12" i="11"/>
  <c r="K12" i="11"/>
  <c r="K14" i="11" s="1"/>
  <c r="I12" i="11"/>
  <c r="I14" i="11" s="1"/>
  <c r="H12" i="11"/>
  <c r="H14" i="11" s="1"/>
  <c r="G12" i="11"/>
  <c r="G14" i="11" s="1"/>
  <c r="F12" i="11"/>
  <c r="F14" i="11" s="1"/>
  <c r="E12" i="11"/>
  <c r="E14" i="11" s="1"/>
  <c r="D12" i="11"/>
  <c r="D14" i="11" s="1"/>
  <c r="P8" i="11"/>
  <c r="O8" i="11"/>
  <c r="N8" i="11"/>
  <c r="M8" i="11"/>
  <c r="L8" i="11"/>
  <c r="K8" i="11"/>
  <c r="I8" i="11"/>
  <c r="H8" i="11"/>
  <c r="G8" i="11"/>
  <c r="F8" i="11"/>
  <c r="E8" i="11"/>
  <c r="M7" i="11"/>
  <c r="M18" i="11" s="1"/>
  <c r="P40" i="9"/>
  <c r="O40" i="9"/>
  <c r="O7" i="11" s="1"/>
  <c r="O9" i="11" s="1"/>
  <c r="N40" i="9"/>
  <c r="M40" i="9"/>
  <c r="L40" i="9"/>
  <c r="K40" i="9"/>
  <c r="I40" i="9"/>
  <c r="I7" i="11" s="1"/>
  <c r="H40" i="9"/>
  <c r="G40" i="9"/>
  <c r="G7" i="11" s="1"/>
  <c r="G18" i="11" s="1"/>
  <c r="F40" i="9"/>
  <c r="F7" i="11" s="1"/>
  <c r="E40" i="9"/>
  <c r="D40" i="9"/>
  <c r="D7" i="11" s="1"/>
  <c r="D9" i="11" s="1"/>
  <c r="AP39" i="9"/>
  <c r="AO39" i="9"/>
  <c r="AN39" i="9"/>
  <c r="AM39" i="9"/>
  <c r="AL39" i="9"/>
  <c r="AJ39" i="9"/>
  <c r="AI39" i="9"/>
  <c r="AH39" i="9"/>
  <c r="AG39" i="9"/>
  <c r="AF39" i="9"/>
  <c r="AP38" i="9"/>
  <c r="AO38" i="9"/>
  <c r="AN38" i="9"/>
  <c r="AM38" i="9"/>
  <c r="AL38" i="9"/>
  <c r="AJ38" i="9"/>
  <c r="AI38" i="9"/>
  <c r="AH38" i="9"/>
  <c r="AG38" i="9"/>
  <c r="AF38" i="9"/>
  <c r="AP37" i="9"/>
  <c r="AO37" i="9"/>
  <c r="AN37" i="9"/>
  <c r="AM37" i="9"/>
  <c r="AL37" i="9"/>
  <c r="AJ37" i="9"/>
  <c r="AI37" i="9"/>
  <c r="AH37" i="9"/>
  <c r="AG37" i="9"/>
  <c r="AF37" i="9"/>
  <c r="AP36" i="9"/>
  <c r="AO36" i="9"/>
  <c r="AN36" i="9"/>
  <c r="AM36" i="9"/>
  <c r="AL36" i="9"/>
  <c r="AJ36" i="9"/>
  <c r="AI36" i="9"/>
  <c r="AH36" i="9"/>
  <c r="AG36" i="9"/>
  <c r="AF36" i="9"/>
  <c r="AP35" i="9"/>
  <c r="AO35" i="9"/>
  <c r="AN35" i="9"/>
  <c r="AM35" i="9"/>
  <c r="AL35" i="9"/>
  <c r="AJ35" i="9"/>
  <c r="AI35" i="9"/>
  <c r="AH35" i="9"/>
  <c r="AG35" i="9"/>
  <c r="AF35" i="9"/>
  <c r="P32" i="9"/>
  <c r="O32" i="9"/>
  <c r="N32" i="9"/>
  <c r="M32" i="9"/>
  <c r="L32" i="9"/>
  <c r="K32" i="9"/>
  <c r="I32" i="9"/>
  <c r="H32" i="9"/>
  <c r="G32" i="9"/>
  <c r="F32" i="9"/>
  <c r="E32" i="9"/>
  <c r="D32" i="9"/>
  <c r="AP31" i="9"/>
  <c r="AO31" i="9"/>
  <c r="AN31" i="9"/>
  <c r="AM31" i="9"/>
  <c r="AL31" i="9"/>
  <c r="AJ31" i="9"/>
  <c r="AI31" i="9"/>
  <c r="AH31" i="9"/>
  <c r="AG31" i="9"/>
  <c r="AF31" i="9"/>
  <c r="AP30" i="9"/>
  <c r="AO30" i="9"/>
  <c r="AN30" i="9"/>
  <c r="AM30" i="9"/>
  <c r="AL30" i="9"/>
  <c r="AJ30" i="9"/>
  <c r="AI30" i="9"/>
  <c r="AH30" i="9"/>
  <c r="AG30" i="9"/>
  <c r="AF30" i="9"/>
  <c r="AP29" i="9"/>
  <c r="AO29" i="9"/>
  <c r="AN29" i="9"/>
  <c r="AM29" i="9"/>
  <c r="AL29" i="9"/>
  <c r="AJ29" i="9"/>
  <c r="AI29" i="9"/>
  <c r="AH29" i="9"/>
  <c r="AG29" i="9"/>
  <c r="AF29" i="9"/>
  <c r="AP28" i="9"/>
  <c r="AO28" i="9"/>
  <c r="AN28" i="9"/>
  <c r="AM28" i="9"/>
  <c r="AL28" i="9"/>
  <c r="AJ28" i="9"/>
  <c r="AI28" i="9"/>
  <c r="AH28" i="9"/>
  <c r="AG28" i="9"/>
  <c r="AF28" i="9"/>
  <c r="P26" i="9"/>
  <c r="O26" i="9"/>
  <c r="N26" i="9"/>
  <c r="N33" i="9" s="1"/>
  <c r="M26" i="9"/>
  <c r="L26" i="9"/>
  <c r="K26" i="9"/>
  <c r="K33" i="9" s="1"/>
  <c r="K44" i="9" s="1"/>
  <c r="I26" i="9"/>
  <c r="H26" i="9"/>
  <c r="G26" i="9"/>
  <c r="F26" i="9"/>
  <c r="E26" i="9"/>
  <c r="D26" i="9"/>
  <c r="AP25" i="9"/>
  <c r="AO25" i="9"/>
  <c r="AN25" i="9"/>
  <c r="AM25" i="9"/>
  <c r="AL25" i="9"/>
  <c r="AJ25" i="9"/>
  <c r="AI25" i="9"/>
  <c r="AH25" i="9"/>
  <c r="AG25" i="9"/>
  <c r="AF25" i="9"/>
  <c r="AP24" i="9"/>
  <c r="AO24" i="9"/>
  <c r="AN24" i="9"/>
  <c r="AM24" i="9"/>
  <c r="AL24" i="9"/>
  <c r="AJ24" i="9"/>
  <c r="AI24" i="9"/>
  <c r="AH24" i="9"/>
  <c r="AG24" i="9"/>
  <c r="AF24" i="9"/>
  <c r="AP23" i="9"/>
  <c r="AO23" i="9"/>
  <c r="AN23" i="9"/>
  <c r="AM23" i="9"/>
  <c r="AL23" i="9"/>
  <c r="AJ23" i="9"/>
  <c r="AI23" i="9"/>
  <c r="AH23" i="9"/>
  <c r="AG23" i="9"/>
  <c r="AF23" i="9"/>
  <c r="AP22" i="9"/>
  <c r="AO22" i="9"/>
  <c r="AN22" i="9"/>
  <c r="AM22" i="9"/>
  <c r="AL22" i="9"/>
  <c r="AJ22" i="9"/>
  <c r="AI22" i="9"/>
  <c r="AH22" i="9"/>
  <c r="AG22" i="9"/>
  <c r="AF22" i="9"/>
  <c r="P19" i="9"/>
  <c r="O19" i="9"/>
  <c r="N19" i="9"/>
  <c r="M19" i="9"/>
  <c r="L19" i="9"/>
  <c r="K19" i="9"/>
  <c r="I19" i="9"/>
  <c r="H19" i="9"/>
  <c r="G19" i="9"/>
  <c r="F19" i="9"/>
  <c r="E19" i="9"/>
  <c r="D19" i="9"/>
  <c r="AP18" i="9"/>
  <c r="AO18" i="9"/>
  <c r="AN18" i="9"/>
  <c r="AM18" i="9"/>
  <c r="AL18" i="9"/>
  <c r="AJ18" i="9"/>
  <c r="AI18" i="9"/>
  <c r="AH18" i="9"/>
  <c r="AG18" i="9"/>
  <c r="AF18" i="9"/>
  <c r="AP17" i="9"/>
  <c r="AO17" i="9"/>
  <c r="AN17" i="9"/>
  <c r="AM17" i="9"/>
  <c r="AL17" i="9"/>
  <c r="AJ17" i="9"/>
  <c r="AI17" i="9"/>
  <c r="AH17" i="9"/>
  <c r="AG17" i="9"/>
  <c r="AF17" i="9"/>
  <c r="AP16" i="9"/>
  <c r="AO16" i="9"/>
  <c r="AN16" i="9"/>
  <c r="AM16" i="9"/>
  <c r="AL16" i="9"/>
  <c r="AJ16" i="9"/>
  <c r="AI16" i="9"/>
  <c r="AH16" i="9"/>
  <c r="AG16" i="9"/>
  <c r="AF16" i="9"/>
  <c r="AP15" i="9"/>
  <c r="AO15" i="9"/>
  <c r="AN15" i="9"/>
  <c r="AM15" i="9"/>
  <c r="AL15" i="9"/>
  <c r="AJ15" i="9"/>
  <c r="AI15" i="9"/>
  <c r="AH15" i="9"/>
  <c r="AG15" i="9"/>
  <c r="AF15" i="9"/>
  <c r="AP14" i="9"/>
  <c r="AO14" i="9"/>
  <c r="AN14" i="9"/>
  <c r="AM14" i="9"/>
  <c r="AL14" i="9"/>
  <c r="AJ14" i="9"/>
  <c r="AI14" i="9"/>
  <c r="AH14" i="9"/>
  <c r="AG14" i="9"/>
  <c r="AF14" i="9"/>
  <c r="P12" i="9"/>
  <c r="P20" i="9" s="1"/>
  <c r="AD29" i="9" s="1"/>
  <c r="O12" i="9"/>
  <c r="N12" i="9"/>
  <c r="M12" i="9"/>
  <c r="L12" i="9"/>
  <c r="K12" i="9"/>
  <c r="K20" i="9" s="1"/>
  <c r="I12" i="9"/>
  <c r="I20" i="9" s="1"/>
  <c r="H12" i="9"/>
  <c r="G12" i="9"/>
  <c r="G20" i="9" s="1"/>
  <c r="U24" i="9" s="1"/>
  <c r="F12" i="9"/>
  <c r="E12" i="9"/>
  <c r="D12" i="9"/>
  <c r="AP11" i="9"/>
  <c r="AO11" i="9"/>
  <c r="AN11" i="9"/>
  <c r="AM11" i="9"/>
  <c r="AL11" i="9"/>
  <c r="AJ11" i="9"/>
  <c r="AI11" i="9"/>
  <c r="AH11" i="9"/>
  <c r="AG11" i="9"/>
  <c r="AF11" i="9"/>
  <c r="AP10" i="9"/>
  <c r="AO10" i="9"/>
  <c r="AN10" i="9"/>
  <c r="AM10" i="9"/>
  <c r="AL10" i="9"/>
  <c r="AJ10" i="9"/>
  <c r="AI10" i="9"/>
  <c r="AH10" i="9"/>
  <c r="AG10" i="9"/>
  <c r="AF10" i="9"/>
  <c r="AP9" i="9"/>
  <c r="AO9" i="9"/>
  <c r="AN9" i="9"/>
  <c r="AM9" i="9"/>
  <c r="AL9" i="9"/>
  <c r="AJ9" i="9"/>
  <c r="AI9" i="9"/>
  <c r="AH9" i="9"/>
  <c r="AG9" i="9"/>
  <c r="AF9" i="9"/>
  <c r="AP8" i="9"/>
  <c r="AO8" i="9"/>
  <c r="AN8" i="9"/>
  <c r="AM8" i="9"/>
  <c r="AL8" i="9"/>
  <c r="AJ8" i="9"/>
  <c r="AI8" i="9"/>
  <c r="AH8" i="9"/>
  <c r="AG8" i="9"/>
  <c r="AF8" i="9"/>
  <c r="AP7" i="9"/>
  <c r="AO7" i="9"/>
  <c r="AN7" i="9"/>
  <c r="AM7" i="9"/>
  <c r="AL7" i="9"/>
  <c r="AJ7" i="9"/>
  <c r="AI7" i="9"/>
  <c r="AH7" i="9"/>
  <c r="AG7" i="9"/>
  <c r="AF7" i="9"/>
  <c r="I73" i="4"/>
  <c r="H73" i="4"/>
  <c r="G73" i="4"/>
  <c r="I72" i="4"/>
  <c r="H72" i="4"/>
  <c r="G72" i="4"/>
  <c r="I71" i="4"/>
  <c r="H71" i="4"/>
  <c r="G71" i="4"/>
  <c r="I70" i="4"/>
  <c r="H70" i="4"/>
  <c r="G70" i="4"/>
  <c r="I69" i="4"/>
  <c r="H69" i="4"/>
  <c r="G69" i="4"/>
  <c r="I68" i="4"/>
  <c r="H68" i="4"/>
  <c r="G68" i="4"/>
  <c r="I67" i="4"/>
  <c r="H67" i="4"/>
  <c r="G67" i="4"/>
  <c r="I66" i="4"/>
  <c r="H66" i="4"/>
  <c r="G66" i="4"/>
  <c r="I65" i="4"/>
  <c r="H65" i="4"/>
  <c r="G65" i="4"/>
  <c r="I64" i="4"/>
  <c r="H64" i="4"/>
  <c r="G64" i="4"/>
  <c r="I63" i="4"/>
  <c r="H63" i="4"/>
  <c r="G63" i="4"/>
  <c r="I62" i="4"/>
  <c r="H62" i="4"/>
  <c r="G62" i="4"/>
  <c r="I61" i="4"/>
  <c r="H61" i="4"/>
  <c r="G61" i="4"/>
  <c r="I60" i="4"/>
  <c r="H60" i="4"/>
  <c r="G60" i="4"/>
  <c r="I59" i="4"/>
  <c r="H59" i="4"/>
  <c r="G59" i="4"/>
  <c r="I58" i="4"/>
  <c r="H58" i="4"/>
  <c r="G58" i="4"/>
  <c r="I57" i="4"/>
  <c r="H57" i="4"/>
  <c r="G57" i="4"/>
  <c r="I56" i="4"/>
  <c r="H56" i="4"/>
  <c r="G56" i="4"/>
  <c r="I55" i="4"/>
  <c r="H55" i="4"/>
  <c r="G55" i="4"/>
  <c r="I54" i="4"/>
  <c r="H54" i="4"/>
  <c r="G54" i="4"/>
  <c r="I53" i="4"/>
  <c r="H53" i="4"/>
  <c r="G53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8" i="4"/>
  <c r="H38" i="4"/>
  <c r="G38" i="4"/>
  <c r="I37" i="4"/>
  <c r="H37" i="4"/>
  <c r="G37" i="4"/>
  <c r="I36" i="4"/>
  <c r="H36" i="4"/>
  <c r="G36" i="4"/>
  <c r="I35" i="4"/>
  <c r="H35" i="4"/>
  <c r="G35" i="4"/>
  <c r="I34" i="4"/>
  <c r="H34" i="4"/>
  <c r="G34" i="4"/>
  <c r="I33" i="4"/>
  <c r="H33" i="4"/>
  <c r="G33" i="4"/>
  <c r="I32" i="4"/>
  <c r="H32" i="4"/>
  <c r="G32" i="4"/>
  <c r="I31" i="4"/>
  <c r="H31" i="4"/>
  <c r="G31" i="4"/>
  <c r="I30" i="4"/>
  <c r="H30" i="4"/>
  <c r="G30" i="4"/>
  <c r="I29" i="4"/>
  <c r="H29" i="4"/>
  <c r="G29" i="4"/>
  <c r="I28" i="4"/>
  <c r="H28" i="4"/>
  <c r="G28" i="4"/>
  <c r="I27" i="4"/>
  <c r="H27" i="4"/>
  <c r="G27" i="4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L15" i="4" s="1"/>
  <c r="H15" i="4"/>
  <c r="K15" i="4" s="1"/>
  <c r="G15" i="4"/>
  <c r="I8" i="4"/>
  <c r="H8" i="4"/>
  <c r="G8" i="4"/>
  <c r="I7" i="4"/>
  <c r="H7" i="4"/>
  <c r="G7" i="4"/>
  <c r="AA8" i="14" l="1"/>
  <c r="AB8" i="14"/>
  <c r="Y8" i="14"/>
  <c r="AD7" i="9"/>
  <c r="H33" i="9"/>
  <c r="U8" i="9"/>
  <c r="U25" i="9"/>
  <c r="N44" i="9"/>
  <c r="AC34" i="14"/>
  <c r="L16" i="4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AD12" i="9"/>
  <c r="AD8" i="9"/>
  <c r="K16" i="4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AD9" i="9"/>
  <c r="E33" i="9"/>
  <c r="E44" i="9" s="1"/>
  <c r="AE34" i="14"/>
  <c r="AD10" i="9"/>
  <c r="AD28" i="9"/>
  <c r="AD11" i="9"/>
  <c r="G33" i="9"/>
  <c r="G44" i="9" s="1"/>
  <c r="J15" i="4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O18" i="11"/>
  <c r="Y27" i="14"/>
  <c r="U27" i="14"/>
  <c r="AC29" i="14"/>
  <c r="AC27" i="14"/>
  <c r="AB27" i="14"/>
  <c r="M9" i="11"/>
  <c r="M15" i="11" s="1"/>
  <c r="H44" i="9"/>
  <c r="AG42" i="9"/>
  <c r="AP42" i="9"/>
  <c r="H41" i="9"/>
  <c r="AH42" i="9"/>
  <c r="AF42" i="9"/>
  <c r="AO42" i="9"/>
  <c r="AD14" i="9"/>
  <c r="U19" i="9"/>
  <c r="AD38" i="9"/>
  <c r="U10" i="9"/>
  <c r="AD36" i="9"/>
  <c r="U16" i="9"/>
  <c r="U7" i="9"/>
  <c r="U9" i="9"/>
  <c r="U11" i="9"/>
  <c r="U12" i="9"/>
  <c r="AD16" i="9"/>
  <c r="U26" i="9"/>
  <c r="U31" i="9"/>
  <c r="Y26" i="9"/>
  <c r="Y20" i="9"/>
  <c r="Y14" i="9"/>
  <c r="Y32" i="9"/>
  <c r="Y23" i="9"/>
  <c r="Y11" i="9"/>
  <c r="Y37" i="9"/>
  <c r="Y16" i="9"/>
  <c r="Y10" i="9"/>
  <c r="Y18" i="9"/>
  <c r="AL42" i="9"/>
  <c r="U22" i="9"/>
  <c r="AM42" i="9"/>
  <c r="AN42" i="9"/>
  <c r="U17" i="9"/>
  <c r="AD25" i="9"/>
  <c r="U28" i="9"/>
  <c r="U32" i="9"/>
  <c r="AD32" i="9"/>
  <c r="U40" i="9"/>
  <c r="Y12" i="9"/>
  <c r="AD19" i="9"/>
  <c r="AD31" i="9"/>
  <c r="AI42" i="9"/>
  <c r="U14" i="9"/>
  <c r="U20" i="9"/>
  <c r="AJ42" i="9"/>
  <c r="W36" i="9"/>
  <c r="W31" i="9"/>
  <c r="W24" i="9"/>
  <c r="W39" i="9"/>
  <c r="W29" i="9"/>
  <c r="W16" i="9"/>
  <c r="W9" i="9"/>
  <c r="W25" i="9"/>
  <c r="W23" i="9"/>
  <c r="W7" i="9"/>
  <c r="W14" i="9"/>
  <c r="W22" i="9"/>
  <c r="W15" i="9"/>
  <c r="W40" i="9"/>
  <c r="W30" i="9"/>
  <c r="W35" i="9"/>
  <c r="W28" i="9"/>
  <c r="W11" i="9"/>
  <c r="W19" i="9"/>
  <c r="W37" i="9"/>
  <c r="W20" i="9"/>
  <c r="W18" i="9"/>
  <c r="W17" i="9"/>
  <c r="W8" i="9"/>
  <c r="W38" i="9"/>
  <c r="W10" i="9"/>
  <c r="W32" i="9"/>
  <c r="AE8" i="14"/>
  <c r="AE27" i="14"/>
  <c r="I33" i="9"/>
  <c r="I44" i="9" s="1"/>
  <c r="W26" i="9"/>
  <c r="F9" i="11"/>
  <c r="F18" i="11"/>
  <c r="E20" i="9"/>
  <c r="S32" i="9" s="1"/>
  <c r="K41" i="9"/>
  <c r="Y33" i="9"/>
  <c r="H7" i="11"/>
  <c r="G9" i="11"/>
  <c r="H20" i="9"/>
  <c r="V12" i="9" s="1"/>
  <c r="L33" i="9"/>
  <c r="L44" i="9" s="1"/>
  <c r="N41" i="9"/>
  <c r="I9" i="11"/>
  <c r="I15" i="11" s="1"/>
  <c r="I18" i="11"/>
  <c r="G41" i="9"/>
  <c r="M20" i="9"/>
  <c r="AA32" i="9" s="1"/>
  <c r="M33" i="9"/>
  <c r="M44" i="9" s="1"/>
  <c r="N20" i="9"/>
  <c r="AB40" i="9" s="1"/>
  <c r="Y38" i="9"/>
  <c r="Y39" i="9"/>
  <c r="Y35" i="9"/>
  <c r="Y36" i="9"/>
  <c r="Y29" i="9"/>
  <c r="Y22" i="9"/>
  <c r="Y17" i="9"/>
  <c r="Y15" i="9"/>
  <c r="Y8" i="9"/>
  <c r="K43" i="9"/>
  <c r="Y31" i="9"/>
  <c r="Y28" i="9"/>
  <c r="Y25" i="9"/>
  <c r="Y30" i="9"/>
  <c r="O10" i="14"/>
  <c r="V27" i="14"/>
  <c r="F10" i="14"/>
  <c r="V8" i="14"/>
  <c r="H23" i="11"/>
  <c r="D20" i="9"/>
  <c r="D43" i="9" s="1"/>
  <c r="F20" i="9"/>
  <c r="T12" i="9"/>
  <c r="L20" i="9"/>
  <c r="Z19" i="9" s="1"/>
  <c r="Y24" i="9"/>
  <c r="U33" i="9"/>
  <c r="W12" i="9"/>
  <c r="D33" i="9"/>
  <c r="D44" i="9" s="1"/>
  <c r="K7" i="11"/>
  <c r="Y40" i="9"/>
  <c r="Y7" i="9"/>
  <c r="Y9" i="9"/>
  <c r="O20" i="9"/>
  <c r="AC26" i="9" s="1"/>
  <c r="P33" i="9"/>
  <c r="P44" i="9" s="1"/>
  <c r="AD26" i="9"/>
  <c r="E41" i="9"/>
  <c r="E7" i="11"/>
  <c r="N7" i="11"/>
  <c r="O15" i="11"/>
  <c r="U39" i="9"/>
  <c r="U35" i="9"/>
  <c r="U37" i="9"/>
  <c r="U30" i="9"/>
  <c r="U23" i="9"/>
  <c r="U18" i="9"/>
  <c r="AD39" i="9"/>
  <c r="AD35" i="9"/>
  <c r="AD30" i="9"/>
  <c r="AD23" i="9"/>
  <c r="AD18" i="9"/>
  <c r="AD37" i="9"/>
  <c r="U15" i="9"/>
  <c r="AD15" i="9"/>
  <c r="AD17" i="9"/>
  <c r="AD24" i="9"/>
  <c r="L7" i="11"/>
  <c r="Z40" i="9"/>
  <c r="G43" i="9"/>
  <c r="G10" i="14"/>
  <c r="X29" i="14" s="1"/>
  <c r="W8" i="14"/>
  <c r="W27" i="14"/>
  <c r="P10" i="14"/>
  <c r="AF8" i="14"/>
  <c r="AF27" i="14"/>
  <c r="F33" i="9"/>
  <c r="F44" i="9" s="1"/>
  <c r="O33" i="9"/>
  <c r="O44" i="9" s="1"/>
  <c r="U29" i="9"/>
  <c r="AC15" i="14"/>
  <c r="U34" i="14"/>
  <c r="L14" i="11"/>
  <c r="Y19" i="9"/>
  <c r="AD20" i="9"/>
  <c r="AD22" i="9"/>
  <c r="U36" i="9"/>
  <c r="U38" i="9"/>
  <c r="I25" i="11"/>
  <c r="D18" i="11"/>
  <c r="I27" i="11"/>
  <c r="L20" i="14"/>
  <c r="AB10" i="14"/>
  <c r="AB29" i="14"/>
  <c r="L13" i="14"/>
  <c r="AB13" i="14" s="1"/>
  <c r="V34" i="14"/>
  <c r="V15" i="14"/>
  <c r="W15" i="14"/>
  <c r="W34" i="14"/>
  <c r="AF34" i="14"/>
  <c r="AF15" i="14"/>
  <c r="D15" i="11"/>
  <c r="D10" i="14"/>
  <c r="AD40" i="9"/>
  <c r="H13" i="14"/>
  <c r="X13" i="14" s="1"/>
  <c r="X10" i="14"/>
  <c r="H20" i="14"/>
  <c r="AC10" i="14"/>
  <c r="AC8" i="14"/>
  <c r="I20" i="14"/>
  <c r="Y10" i="14"/>
  <c r="M20" i="14"/>
  <c r="P7" i="11"/>
  <c r="Y29" i="14"/>
  <c r="E10" i="14"/>
  <c r="U8" i="14"/>
  <c r="AD27" i="14"/>
  <c r="N10" i="14"/>
  <c r="AD8" i="14"/>
  <c r="AD34" i="14"/>
  <c r="AD15" i="14"/>
  <c r="X27" i="14"/>
  <c r="K20" i="14"/>
  <c r="X34" i="14"/>
  <c r="Y34" i="14"/>
  <c r="X8" i="14"/>
  <c r="K13" i="14"/>
  <c r="AA13" i="14" s="1"/>
  <c r="X15" i="14"/>
  <c r="AB34" i="14"/>
  <c r="S33" i="9" l="1"/>
  <c r="S19" i="9"/>
  <c r="Z26" i="9"/>
  <c r="H28" i="11"/>
  <c r="AA12" i="9"/>
  <c r="R26" i="9"/>
  <c r="AC12" i="9"/>
  <c r="AB32" i="9"/>
  <c r="V41" i="9"/>
  <c r="S40" i="9"/>
  <c r="D16" i="11"/>
  <c r="I16" i="11"/>
  <c r="S41" i="9"/>
  <c r="I41" i="9"/>
  <c r="W33" i="9"/>
  <c r="Z33" i="9"/>
  <c r="L41" i="9"/>
  <c r="L18" i="11"/>
  <c r="L9" i="11"/>
  <c r="P41" i="9"/>
  <c r="AD33" i="9"/>
  <c r="T36" i="9"/>
  <c r="T37" i="9"/>
  <c r="T40" i="9"/>
  <c r="T35" i="9"/>
  <c r="T31" i="9"/>
  <c r="T24" i="9"/>
  <c r="T39" i="9"/>
  <c r="T30" i="9"/>
  <c r="T10" i="9"/>
  <c r="T29" i="9"/>
  <c r="T7" i="9"/>
  <c r="T20" i="9"/>
  <c r="T23" i="9"/>
  <c r="T19" i="9"/>
  <c r="T15" i="9"/>
  <c r="T9" i="9"/>
  <c r="T18" i="9"/>
  <c r="T16" i="9"/>
  <c r="T32" i="9"/>
  <c r="T25" i="9"/>
  <c r="T22" i="9"/>
  <c r="T17" i="9"/>
  <c r="T28" i="9"/>
  <c r="T14" i="9"/>
  <c r="T11" i="9"/>
  <c r="T38" i="9"/>
  <c r="T8" i="9"/>
  <c r="V29" i="14"/>
  <c r="F20" i="14"/>
  <c r="V10" i="14"/>
  <c r="F13" i="14"/>
  <c r="V13" i="14" s="1"/>
  <c r="AE29" i="14"/>
  <c r="O13" i="14"/>
  <c r="AE13" i="14" s="1"/>
  <c r="O20" i="14"/>
  <c r="AE10" i="14"/>
  <c r="D41" i="9"/>
  <c r="R33" i="9"/>
  <c r="P18" i="11"/>
  <c r="P9" i="11"/>
  <c r="M16" i="11"/>
  <c r="Y41" i="9"/>
  <c r="N13" i="14"/>
  <c r="AD13" i="14" s="1"/>
  <c r="N20" i="14"/>
  <c r="AD10" i="14"/>
  <c r="AD29" i="14"/>
  <c r="AC33" i="9"/>
  <c r="O41" i="9"/>
  <c r="AC36" i="9"/>
  <c r="AC37" i="9"/>
  <c r="AC39" i="9"/>
  <c r="AC40" i="9"/>
  <c r="AC31" i="9"/>
  <c r="AC24" i="9"/>
  <c r="AC28" i="9"/>
  <c r="AC25" i="9"/>
  <c r="AC10" i="9"/>
  <c r="AC30" i="9"/>
  <c r="AC35" i="9"/>
  <c r="AC19" i="9"/>
  <c r="AC8" i="9"/>
  <c r="AC15" i="9"/>
  <c r="AC29" i="9"/>
  <c r="AC20" i="9"/>
  <c r="AC18" i="9"/>
  <c r="AC17" i="9"/>
  <c r="AC16" i="9"/>
  <c r="AC38" i="9"/>
  <c r="AC32" i="9"/>
  <c r="AC14" i="9"/>
  <c r="AC11" i="9"/>
  <c r="AC23" i="9"/>
  <c r="AC22" i="9"/>
  <c r="AC9" i="9"/>
  <c r="AC7" i="9"/>
  <c r="AA26" i="9"/>
  <c r="H43" i="9"/>
  <c r="V37" i="9"/>
  <c r="V38" i="9"/>
  <c r="V28" i="9"/>
  <c r="V25" i="9"/>
  <c r="V20" i="9"/>
  <c r="V24" i="9"/>
  <c r="V17" i="9"/>
  <c r="V14" i="9"/>
  <c r="V11" i="9"/>
  <c r="V7" i="9"/>
  <c r="V23" i="9"/>
  <c r="V35" i="9"/>
  <c r="V22" i="9"/>
  <c r="V15" i="9"/>
  <c r="V36" i="9"/>
  <c r="V31" i="9"/>
  <c r="V32" i="9"/>
  <c r="V9" i="9"/>
  <c r="V39" i="9"/>
  <c r="V30" i="9"/>
  <c r="V29" i="9"/>
  <c r="V26" i="9"/>
  <c r="V18" i="9"/>
  <c r="V16" i="9"/>
  <c r="V8" i="9"/>
  <c r="V10" i="9"/>
  <c r="V40" i="9"/>
  <c r="S38" i="9"/>
  <c r="S29" i="9"/>
  <c r="S22" i="9"/>
  <c r="S17" i="9"/>
  <c r="S36" i="9"/>
  <c r="S37" i="9"/>
  <c r="S20" i="9"/>
  <c r="S18" i="9"/>
  <c r="S24" i="9"/>
  <c r="S14" i="9"/>
  <c r="S11" i="9"/>
  <c r="S7" i="9"/>
  <c r="E43" i="9"/>
  <c r="S16" i="9"/>
  <c r="S10" i="9"/>
  <c r="S8" i="9"/>
  <c r="S35" i="9"/>
  <c r="S12" i="9"/>
  <c r="S23" i="9"/>
  <c r="S15" i="9"/>
  <c r="S25" i="9"/>
  <c r="S39" i="9"/>
  <c r="S26" i="9"/>
  <c r="S9" i="9"/>
  <c r="S31" i="9"/>
  <c r="S30" i="9"/>
  <c r="S28" i="9"/>
  <c r="N9" i="11"/>
  <c r="N18" i="11"/>
  <c r="G13" i="14"/>
  <c r="W13" i="14" s="1"/>
  <c r="G20" i="14"/>
  <c r="W29" i="14"/>
  <c r="W10" i="14"/>
  <c r="O16" i="11"/>
  <c r="L43" i="9"/>
  <c r="Z37" i="9"/>
  <c r="Z35" i="9"/>
  <c r="Z28" i="9"/>
  <c r="Z25" i="9"/>
  <c r="Z20" i="9"/>
  <c r="Z16" i="9"/>
  <c r="Z23" i="9"/>
  <c r="Z31" i="9"/>
  <c r="Z32" i="9"/>
  <c r="Z22" i="9"/>
  <c r="Z18" i="9"/>
  <c r="Z10" i="9"/>
  <c r="Z24" i="9"/>
  <c r="Z9" i="9"/>
  <c r="Z30" i="9"/>
  <c r="Z14" i="9"/>
  <c r="Z11" i="9"/>
  <c r="Z29" i="9"/>
  <c r="Z8" i="9"/>
  <c r="Z7" i="9"/>
  <c r="Z36" i="9"/>
  <c r="Z17" i="9"/>
  <c r="Z38" i="9"/>
  <c r="Z39" i="9"/>
  <c r="Z15" i="9"/>
  <c r="AB38" i="9"/>
  <c r="AB29" i="9"/>
  <c r="AB22" i="9"/>
  <c r="AB17" i="9"/>
  <c r="N43" i="9"/>
  <c r="AB31" i="9"/>
  <c r="AB16" i="9"/>
  <c r="AB30" i="9"/>
  <c r="AB14" i="9"/>
  <c r="AB11" i="9"/>
  <c r="AB7" i="9"/>
  <c r="AB37" i="9"/>
  <c r="AB36" i="9"/>
  <c r="AB28" i="9"/>
  <c r="AB8" i="9"/>
  <c r="AB26" i="9"/>
  <c r="AB25" i="9"/>
  <c r="AB20" i="9"/>
  <c r="AB18" i="9"/>
  <c r="AB10" i="9"/>
  <c r="AB35" i="9"/>
  <c r="AB24" i="9"/>
  <c r="AB9" i="9"/>
  <c r="AB39" i="9"/>
  <c r="AB15" i="9"/>
  <c r="AB23" i="9"/>
  <c r="AB41" i="9"/>
  <c r="H9" i="11"/>
  <c r="I17" i="11" s="1"/>
  <c r="H18" i="11"/>
  <c r="AA39" i="9"/>
  <c r="AA35" i="9"/>
  <c r="AA36" i="9"/>
  <c r="AA38" i="9"/>
  <c r="AA30" i="9"/>
  <c r="AA23" i="9"/>
  <c r="AA18" i="9"/>
  <c r="AA9" i="9"/>
  <c r="AA40" i="9"/>
  <c r="AA28" i="9"/>
  <c r="AA25" i="9"/>
  <c r="AA20" i="9"/>
  <c r="AA14" i="9"/>
  <c r="AA11" i="9"/>
  <c r="AA16" i="9"/>
  <c r="AA10" i="9"/>
  <c r="AA22" i="9"/>
  <c r="AA37" i="9"/>
  <c r="AA31" i="9"/>
  <c r="AA29" i="9"/>
  <c r="AA17" i="9"/>
  <c r="AA8" i="9"/>
  <c r="AA7" i="9"/>
  <c r="AA24" i="9"/>
  <c r="AA15" i="9"/>
  <c r="AF29" i="14"/>
  <c r="P13" i="14"/>
  <c r="AF13" i="14" s="1"/>
  <c r="P20" i="14"/>
  <c r="AF10" i="14"/>
  <c r="U41" i="9"/>
  <c r="G17" i="11"/>
  <c r="H26" i="11"/>
  <c r="G15" i="11"/>
  <c r="T26" i="9"/>
  <c r="F15" i="11"/>
  <c r="E9" i="11"/>
  <c r="E18" i="11"/>
  <c r="AB12" i="9"/>
  <c r="K9" i="11"/>
  <c r="K18" i="11"/>
  <c r="R39" i="9"/>
  <c r="R35" i="9"/>
  <c r="R36" i="9"/>
  <c r="R38" i="9"/>
  <c r="R30" i="9"/>
  <c r="R23" i="9"/>
  <c r="R18" i="9"/>
  <c r="R28" i="9"/>
  <c r="R25" i="9"/>
  <c r="R22" i="9"/>
  <c r="R16" i="9"/>
  <c r="R9" i="9"/>
  <c r="R24" i="9"/>
  <c r="R17" i="9"/>
  <c r="R10" i="9"/>
  <c r="R8" i="9"/>
  <c r="R31" i="9"/>
  <c r="R11" i="9"/>
  <c r="R20" i="9"/>
  <c r="R15" i="9"/>
  <c r="R12" i="9"/>
  <c r="R7" i="9"/>
  <c r="R40" i="9"/>
  <c r="R37" i="9"/>
  <c r="R29" i="9"/>
  <c r="R14" i="9"/>
  <c r="M41" i="9"/>
  <c r="M43" i="9" s="1"/>
  <c r="AA33" i="9"/>
  <c r="AB33" i="9"/>
  <c r="Z12" i="9"/>
  <c r="AB19" i="9"/>
  <c r="R32" i="9"/>
  <c r="AA19" i="9"/>
  <c r="V33" i="9"/>
  <c r="U29" i="14"/>
  <c r="E13" i="14"/>
  <c r="U13" i="14" s="1"/>
  <c r="U10" i="14"/>
  <c r="E20" i="14"/>
  <c r="D20" i="14"/>
  <c r="D13" i="14"/>
  <c r="T13" i="14" s="1"/>
  <c r="T10" i="14"/>
  <c r="F41" i="9"/>
  <c r="T33" i="9"/>
  <c r="H25" i="11"/>
  <c r="R19" i="9"/>
  <c r="V19" i="9"/>
  <c r="F17" i="11" l="1"/>
  <c r="E17" i="11"/>
  <c r="D23" i="11"/>
  <c r="D28" i="11"/>
  <c r="F16" i="11"/>
  <c r="T41" i="9"/>
  <c r="L17" i="11"/>
  <c r="M17" i="11"/>
  <c r="L15" i="11"/>
  <c r="N17" i="11"/>
  <c r="I26" i="11"/>
  <c r="O17" i="11"/>
  <c r="N15" i="11"/>
  <c r="F43" i="9"/>
  <c r="E27" i="11"/>
  <c r="E25" i="11"/>
  <c r="R41" i="9"/>
  <c r="W41" i="9"/>
  <c r="I43" i="9"/>
  <c r="E15" i="11"/>
  <c r="H24" i="11"/>
  <c r="AD41" i="9"/>
  <c r="P43" i="9"/>
  <c r="G16" i="11"/>
  <c r="H17" i="11"/>
  <c r="H15" i="11"/>
  <c r="H27" i="11"/>
  <c r="AC41" i="9"/>
  <c r="AA41" i="9"/>
  <c r="I23" i="11"/>
  <c r="K15" i="11"/>
  <c r="K16" i="11" s="1"/>
  <c r="I24" i="11"/>
  <c r="O43" i="9"/>
  <c r="P17" i="11"/>
  <c r="P15" i="11"/>
  <c r="I28" i="11"/>
  <c r="Z41" i="9"/>
  <c r="P16" i="11" l="1"/>
  <c r="E16" i="11"/>
  <c r="D26" i="11"/>
  <c r="H16" i="11"/>
  <c r="D25" i="11"/>
  <c r="N16" i="11"/>
  <c r="L16" i="11"/>
  <c r="H31" i="11"/>
  <c r="H29" i="11"/>
  <c r="H30" i="11"/>
  <c r="E23" i="11"/>
  <c r="G23" i="11" s="1"/>
  <c r="I31" i="11"/>
  <c r="I30" i="11"/>
  <c r="I29" i="11"/>
  <c r="D27" i="11" l="1"/>
  <c r="E26" i="11"/>
  <c r="F23" i="11"/>
  <c r="F26" i="11"/>
  <c r="G26" i="11"/>
  <c r="D24" i="11"/>
  <c r="E28" i="11"/>
  <c r="E24" i="11"/>
  <c r="G25" i="11"/>
  <c r="F25" i="11"/>
  <c r="E30" i="11" l="1"/>
  <c r="E31" i="11"/>
  <c r="G28" i="11"/>
  <c r="F28" i="11"/>
  <c r="F27" i="11"/>
  <c r="G27" i="11"/>
  <c r="E29" i="11"/>
  <c r="G24" i="11"/>
  <c r="F24" i="11"/>
  <c r="D31" i="11"/>
  <c r="D29" i="11"/>
  <c r="D30" i="11"/>
  <c r="F31" i="11" l="1"/>
  <c r="F30" i="11"/>
  <c r="G29" i="11"/>
  <c r="F29" i="11"/>
  <c r="G31" i="11"/>
  <c r="G30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100-000001000000}">
      <text>
        <r>
          <rPr>
            <sz val="10"/>
            <rFont val="Noto Sans CJK SC"/>
            <family val="2"/>
          </rPr>
          <t xml:space="preserve">비교기업 선정 기준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동일 산업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유사 규모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동일 시장 상장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 xml:space="preserve">은 </t>
        </r>
        <r>
          <rPr>
            <sz val="10"/>
            <rFont val="Arial"/>
            <family val="2"/>
          </rPr>
          <t>3</t>
        </r>
        <r>
          <rPr>
            <sz val="10"/>
            <rFont val="Noto Sans CJK SC"/>
            <family val="2"/>
          </rPr>
          <t>장 횡단면분석의 전제</t>
        </r>
        <r>
          <rPr>
            <sz val="10"/>
            <rFont val="Arial"/>
            <family val="2"/>
          </rPr>
          <t xml:space="preserve">[Ch03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18], 5</t>
        </r>
        <r>
          <rPr>
            <sz val="10"/>
            <rFont val="Noto Sans CJK SC"/>
            <family val="2"/>
          </rPr>
          <t>장 산업평균 비교의 함정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 xml:space="preserve">규모가 </t>
        </r>
        <r>
          <rPr>
            <sz val="10"/>
            <rFont val="Arial"/>
            <family val="2"/>
          </rPr>
          <t>5</t>
        </r>
        <r>
          <rPr>
            <sz val="10"/>
            <rFont val="Noto Sans CJK SC"/>
            <family val="2"/>
          </rPr>
          <t>배 다른 공상은행</t>
        </r>
        <r>
          <rPr>
            <sz val="10"/>
            <rFont val="Arial"/>
            <family val="2"/>
          </rPr>
          <t xml:space="preserve">)[Ch05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15], 11</t>
        </r>
        <r>
          <rPr>
            <sz val="10"/>
            <rFont val="Noto Sans CJK SC"/>
            <family val="2"/>
          </rPr>
          <t>장 상대가치의 비교기업 선정 기준</t>
        </r>
        <r>
          <rPr>
            <sz val="10"/>
            <rFont val="Arial"/>
            <family val="2"/>
          </rPr>
          <t xml:space="preserve">[Ch11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15 </t>
        </r>
        <r>
          <rPr>
            <sz val="10"/>
            <rFont val="Noto Sans CJK SC"/>
            <family val="2"/>
          </rPr>
          <t>노트</t>
        </r>
        <r>
          <rPr>
            <sz val="10"/>
            <rFont val="Arial"/>
            <family val="2"/>
          </rPr>
          <t>]</t>
        </r>
        <r>
          <rPr>
            <sz val="10"/>
            <rFont val="Noto Sans CJK SC"/>
            <family val="2"/>
          </rPr>
          <t>에서 계속 회수됩니다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매 장마다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이 비교기업이 지금도 적절한가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를 다시 묻습니다</t>
        </r>
        <r>
          <rPr>
            <sz val="10"/>
            <rFont val="Arial"/>
            <family val="2"/>
          </rPr>
          <t>.</t>
        </r>
      </text>
    </comment>
    <comment ref="D12" authorId="0" shapeId="0" xr:uid="{00000000-0006-0000-0100-000003000000}">
      <text>
        <r>
          <rPr>
            <sz val="10"/>
            <rFont val="Noto Sans CJK SC"/>
            <family val="2"/>
          </rPr>
          <t xml:space="preserve">시가총액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 xml:space="preserve">발행주식수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Noto Sans CJK SC"/>
            <family val="2"/>
          </rPr>
          <t>기준일</t>
        </r>
        <r>
          <rPr>
            <sz val="10"/>
            <rFont val="Arial"/>
            <family val="2"/>
          </rPr>
          <t xml:space="preserve">(2025-12-30) </t>
        </r>
        <r>
          <rPr>
            <sz val="10"/>
            <rFont val="Noto Sans CJK SC"/>
            <family val="2"/>
          </rPr>
          <t>종가</t>
        </r>
        <r>
          <rPr>
            <sz val="10"/>
            <rFont val="Arial"/>
            <family val="2"/>
          </rPr>
          <t>.
SK</t>
        </r>
        <r>
          <rPr>
            <sz val="10"/>
            <rFont val="Noto Sans CJK SC"/>
            <family val="2"/>
          </rPr>
          <t xml:space="preserve">하이닉스 </t>
        </r>
        <r>
          <rPr>
            <sz val="10"/>
            <rFont val="Arial"/>
            <family val="2"/>
          </rPr>
          <t>728,002,365</t>
        </r>
        <r>
          <rPr>
            <sz val="10"/>
            <rFont val="Noto Sans CJK SC"/>
            <family val="2"/>
          </rPr>
          <t xml:space="preserve">주 </t>
        </r>
        <r>
          <rPr>
            <sz val="10"/>
            <rFont val="Arial"/>
            <family val="2"/>
          </rPr>
          <t>× 651,000</t>
        </r>
        <r>
          <rPr>
            <sz val="10"/>
            <rFont val="Noto Sans CJK SC"/>
            <family val="2"/>
          </rPr>
          <t xml:space="preserve">원 </t>
        </r>
        <r>
          <rPr>
            <sz val="10"/>
            <rFont val="Arial"/>
            <family val="2"/>
          </rPr>
          <t>= 473,929,540</t>
        </r>
        <r>
          <rPr>
            <sz val="10"/>
            <rFont val="Noto Sans CJK SC"/>
            <family val="2"/>
          </rPr>
          <t xml:space="preserve">백만원
삼성전자 보통주 </t>
        </r>
        <r>
          <rPr>
            <sz val="10"/>
            <rFont val="Arial"/>
            <family val="2"/>
          </rPr>
          <t>5,919,637,922</t>
        </r>
        <r>
          <rPr>
            <sz val="10"/>
            <rFont val="Noto Sans CJK SC"/>
            <family val="2"/>
          </rPr>
          <t xml:space="preserve">주 </t>
        </r>
        <r>
          <rPr>
            <sz val="10"/>
            <rFont val="Arial"/>
            <family val="2"/>
          </rPr>
          <t>× 119,900</t>
        </r>
        <r>
          <rPr>
            <sz val="10"/>
            <rFont val="Noto Sans CJK SC"/>
            <family val="2"/>
          </rPr>
          <t xml:space="preserve">원 </t>
        </r>
        <r>
          <rPr>
            <sz val="10"/>
            <rFont val="Arial"/>
            <family val="2"/>
          </rPr>
          <t>= 709,764,587</t>
        </r>
        <r>
          <rPr>
            <sz val="10"/>
            <rFont val="Noto Sans CJK SC"/>
            <family val="2"/>
          </rPr>
          <t>백만원
삼성전자는 우선주</t>
        </r>
        <r>
          <rPr>
            <sz val="10"/>
            <rFont val="Arial"/>
            <family val="2"/>
          </rPr>
          <t>(802,371,203</t>
        </r>
        <r>
          <rPr>
            <sz val="10"/>
            <rFont val="Noto Sans CJK SC"/>
            <family val="2"/>
          </rPr>
          <t>주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를 제외한 보통주 기준입니다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우선주를 포함하면 시가총액이 달라지므로 비교 시 기준을 통일하세요</t>
        </r>
        <r>
          <rPr>
            <sz val="10"/>
            <rFont val="Arial"/>
            <family val="2"/>
          </rPr>
          <t>.</t>
        </r>
      </text>
    </comment>
    <comment ref="D15" authorId="0" shapeId="0" xr:uid="{00000000-0006-0000-0100-000004000000}">
      <text>
        <r>
          <rPr>
            <sz val="10"/>
            <rFont val="Noto Sans CJK SC"/>
            <family val="2"/>
          </rPr>
          <t>최대주주 지분율은 제공된 사업보고서에서 자동 추출이 어려워 비워 두었습니다</t>
        </r>
        <r>
          <rPr>
            <sz val="10"/>
            <rFont val="Arial"/>
            <family val="2"/>
          </rPr>
          <t xml:space="preserve">. DART </t>
        </r>
        <r>
          <rPr>
            <sz val="10"/>
            <rFont val="Noto Sans CJK SC"/>
            <family val="2"/>
          </rPr>
          <t>사업보고서 「</t>
        </r>
        <r>
          <rPr>
            <sz val="10"/>
            <rFont val="Arial"/>
            <family val="2"/>
          </rPr>
          <t xml:space="preserve">VII. </t>
        </r>
        <r>
          <rPr>
            <sz val="10"/>
            <rFont val="Noto Sans CJK SC"/>
            <family val="2"/>
          </rPr>
          <t>주주에 관한 사항 → 최대주주 및 그 특수관계인의 주식소유 현황」에서 기말 지분율을 확인해 채우세요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>삼성전자는 같은 표에서 삼성생명보험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주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 xml:space="preserve">보통주 </t>
        </r>
        <r>
          <rPr>
            <sz val="10"/>
            <rFont val="Arial"/>
            <family val="2"/>
          </rPr>
          <t>503,904,843</t>
        </r>
        <r>
          <rPr>
            <sz val="10"/>
            <rFont val="Noto Sans CJK SC"/>
            <family val="2"/>
          </rPr>
          <t xml:space="preserve">주 </t>
        </r>
        <r>
          <rPr>
            <sz val="10"/>
            <rFont val="Arial"/>
            <family val="2"/>
          </rPr>
          <t>· 8.51%</t>
        </r>
        <r>
          <rPr>
            <sz val="10"/>
            <rFont val="Noto Sans CJK SC"/>
            <family val="2"/>
          </rPr>
          <t>로 확인됩니다</t>
        </r>
        <r>
          <rPr>
            <sz val="10"/>
            <rFont val="Arial"/>
            <family val="2"/>
          </rPr>
          <t>.</t>
        </r>
      </text>
    </comment>
    <comment ref="C33" authorId="0" shapeId="0" xr:uid="{00000000-0006-0000-0100-000002000000}">
      <text>
        <r>
          <rPr>
            <sz val="10"/>
            <rFont val="Noto Sans CJK SC"/>
            <family val="2"/>
          </rPr>
          <t>동일 산업 여부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사업 유사성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규모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매출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자산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시총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>비교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동일 시장 상장 여부를 근거로 쓰세요</t>
        </r>
        <r>
          <rPr>
            <sz val="10"/>
            <rFont val="Arial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300-000001000000}">
      <text>
        <r>
          <rPr>
            <sz val="10"/>
            <rFont val="Noto Sans CJK SC"/>
            <family val="2"/>
          </rPr>
          <t xml:space="preserve">이 시트의 월별 수익률은 </t>
        </r>
        <r>
          <rPr>
            <sz val="10"/>
            <rFont val="Arial"/>
            <family val="2"/>
          </rPr>
          <t>7</t>
        </r>
        <r>
          <rPr>
            <sz val="10"/>
            <rFont val="Noto Sans CJK SC"/>
            <family val="2"/>
          </rPr>
          <t>장 베타 추정의 재료입니다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초과수익률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수익률 − 무위험이자율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 xml:space="preserve">을 </t>
        </r>
        <r>
          <rPr>
            <sz val="10"/>
            <rFont val="Arial"/>
            <family val="2"/>
          </rPr>
          <t xml:space="preserve">KOSPI </t>
        </r>
        <r>
          <rPr>
            <sz val="10"/>
            <rFont val="Noto Sans CJK SC"/>
            <family val="2"/>
          </rPr>
          <t xml:space="preserve">초과수익률에 회귀시킨 기울기가 </t>
        </r>
        <r>
          <rPr>
            <sz val="10"/>
            <rFont val="Arial"/>
            <family val="2"/>
          </rPr>
          <t xml:space="preserve">β[Ch07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10]. 60</t>
        </r>
        <r>
          <rPr>
            <sz val="10"/>
            <rFont val="Noto Sans CJK SC"/>
            <family val="2"/>
          </rPr>
          <t>개월 월별</t>
        </r>
        <r>
          <rPr>
            <sz val="10"/>
            <rFont val="Arial"/>
            <family val="2"/>
          </rPr>
          <t xml:space="preserve">·KOSPI </t>
        </r>
        <r>
          <rPr>
            <sz val="10"/>
            <rFont val="Noto Sans CJK SC"/>
            <family val="2"/>
          </rPr>
          <t xml:space="preserve">기준으로 통일하고 </t>
        </r>
        <r>
          <rPr>
            <sz val="10"/>
            <rFont val="Arial"/>
            <family val="2"/>
          </rPr>
          <t>R²</t>
        </r>
        <r>
          <rPr>
            <sz val="10"/>
            <rFont val="Noto Sans CJK SC"/>
            <family val="2"/>
          </rPr>
          <t>를 확인하며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실무는 조정베타</t>
        </r>
        <r>
          <rPr>
            <sz val="10"/>
            <rFont val="Arial"/>
            <family val="2"/>
          </rPr>
          <t>(0.67×β + 0.33)</t>
        </r>
        <r>
          <rPr>
            <sz val="10"/>
            <rFont val="Noto Sans CJK SC"/>
            <family val="2"/>
          </rPr>
          <t>도 씁니다</t>
        </r>
        <r>
          <rPr>
            <sz val="10"/>
            <rFont val="Arial"/>
            <family val="2"/>
          </rPr>
          <t xml:space="preserve">[Ch07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10 </t>
        </r>
        <r>
          <rPr>
            <sz val="10"/>
            <rFont val="Noto Sans CJK SC"/>
            <family val="2"/>
          </rPr>
          <t>노트</t>
        </r>
        <r>
          <rPr>
            <sz val="10"/>
            <rFont val="Arial"/>
            <family val="2"/>
          </rPr>
          <t xml:space="preserve">]. β → CAPM </t>
        </r>
        <r>
          <rPr>
            <sz val="10"/>
            <rFont val="Noto Sans CJK SC"/>
            <family val="2"/>
          </rPr>
          <t>자기자본비용</t>
        </r>
        <r>
          <rPr>
            <sz val="10"/>
            <rFont val="Arial"/>
            <family val="2"/>
          </rPr>
          <t xml:space="preserve">[Ch07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9] → 11</t>
        </r>
        <r>
          <rPr>
            <sz val="10"/>
            <rFont val="Noto Sans CJK SC"/>
            <family val="2"/>
          </rPr>
          <t xml:space="preserve">장 </t>
        </r>
        <r>
          <rPr>
            <sz val="10"/>
            <rFont val="Arial"/>
            <family val="2"/>
          </rPr>
          <t>RIM·DDM</t>
        </r>
        <r>
          <rPr>
            <sz val="10"/>
            <rFont val="Noto Sans CJK SC"/>
            <family val="2"/>
          </rPr>
          <t>의 할인율</t>
        </r>
        <r>
          <rPr>
            <sz val="10"/>
            <rFont val="Arial"/>
            <family val="2"/>
          </rPr>
          <t xml:space="preserve">[Ch11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5].</t>
        </r>
      </text>
    </comment>
    <comment ref="C13" authorId="0" shapeId="0" xr:uid="{00000000-0006-0000-0300-000002000000}">
      <text>
        <r>
          <rPr>
            <sz val="10"/>
            <rFont val="Noto Sans CJK SC"/>
            <family val="2"/>
          </rPr>
          <t>앵커 값</t>
        </r>
        <r>
          <rPr>
            <sz val="10"/>
            <rFont val="Arial"/>
            <family val="2"/>
          </rPr>
          <t xml:space="preserve">: 2025-12-30 </t>
        </r>
        <r>
          <rPr>
            <sz val="10"/>
            <rFont val="Noto Sans CJK SC"/>
            <family val="2"/>
          </rPr>
          <t xml:space="preserve">종가 </t>
        </r>
        <r>
          <rPr>
            <sz val="10"/>
            <rFont val="Arial"/>
            <family val="2"/>
          </rPr>
          <t>SK</t>
        </r>
        <r>
          <rPr>
            <sz val="10"/>
            <rFont val="Noto Sans CJK SC"/>
            <family val="2"/>
          </rPr>
          <t xml:space="preserve">하이닉스 </t>
        </r>
        <r>
          <rPr>
            <sz val="10"/>
            <rFont val="Arial"/>
            <family val="2"/>
          </rPr>
          <t>651,000</t>
        </r>
        <r>
          <rPr>
            <sz val="10"/>
            <rFont val="Noto Sans CJK SC"/>
            <family val="2"/>
          </rPr>
          <t xml:space="preserve">원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SC"/>
            <family val="2"/>
          </rPr>
          <t xml:space="preserve">삼성전자 </t>
        </r>
        <r>
          <rPr>
            <sz val="10"/>
            <rFont val="Arial"/>
            <family val="2"/>
          </rPr>
          <t>119,900</t>
        </r>
        <r>
          <rPr>
            <sz val="10"/>
            <rFont val="Noto Sans CJK SC"/>
            <family val="2"/>
          </rPr>
          <t xml:space="preserve">원 </t>
        </r>
        <r>
          <rPr>
            <sz val="10"/>
            <rFont val="Arial"/>
            <family val="2"/>
          </rPr>
          <t xml:space="preserve">· KOSPI 4,214.17.
</t>
        </r>
        <r>
          <rPr>
            <sz val="10"/>
            <rFont val="Noto Sans CJK SC"/>
            <family val="2"/>
          </rPr>
          <t>이 세 값에서 일간수익률을 거꾸로 나누어 각 월말 종가를 복원했습니다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>검증</t>
        </r>
        <r>
          <rPr>
            <sz val="10"/>
            <rFont val="Arial"/>
            <family val="2"/>
          </rPr>
          <t xml:space="preserve">: KOSPI 2024-12-30 </t>
        </r>
        <r>
          <rPr>
            <sz val="10"/>
            <rFont val="Noto Sans CJK SC"/>
            <family val="2"/>
          </rPr>
          <t xml:space="preserve">역산치 </t>
        </r>
        <r>
          <rPr>
            <sz val="10"/>
            <rFont val="Arial"/>
            <family val="2"/>
          </rPr>
          <t xml:space="preserve">2,398.67 vs </t>
        </r>
        <r>
          <rPr>
            <sz val="10"/>
            <rFont val="Noto Sans CJK SC"/>
            <family val="2"/>
          </rPr>
          <t xml:space="preserve">한국거래소 발표 종가 </t>
        </r>
        <r>
          <rPr>
            <sz val="10"/>
            <rFont val="Arial"/>
            <family val="2"/>
          </rPr>
          <t>2,399.49 (</t>
        </r>
        <r>
          <rPr>
            <sz val="10"/>
            <rFont val="Noto Sans CJK SC"/>
            <family val="2"/>
          </rPr>
          <t xml:space="preserve">오차 </t>
        </r>
        <r>
          <rPr>
            <sz val="10"/>
            <rFont val="Arial"/>
            <family val="2"/>
          </rPr>
          <t xml:space="preserve">0.03%).
</t>
        </r>
        <r>
          <rPr>
            <sz val="10"/>
            <rFont val="Noto Sans CJK SC"/>
            <family val="2"/>
          </rPr>
          <t>배당은 반영되지 않은 가격 기준 수익률이며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무상증자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액면분할은 수정주가로 조정된 계열입니다</t>
        </r>
        <r>
          <rPr>
            <sz val="10"/>
            <rFont val="Arial"/>
            <family val="2"/>
          </rPr>
          <t>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400-000001000000}">
      <text>
        <r>
          <rPr>
            <sz val="10"/>
            <rFont val="Noto Sans CJK SC"/>
            <family val="2"/>
          </rPr>
          <t xml:space="preserve">두 보고서의 차이는 </t>
        </r>
        <r>
          <rPr>
            <sz val="10"/>
            <rFont val="Arial"/>
            <family val="2"/>
          </rPr>
          <t>7</t>
        </r>
        <r>
          <rPr>
            <sz val="10"/>
            <rFont val="Noto Sans CJK SC"/>
            <family val="2"/>
          </rPr>
          <t xml:space="preserve">장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재무제표로 보는 위험 — 관점이 다르다</t>
        </r>
        <r>
          <rPr>
            <sz val="10"/>
            <rFont val="Arial"/>
            <family val="2"/>
          </rPr>
          <t xml:space="preserve">"[Ch07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13]</t>
        </r>
        <r>
          <rPr>
            <sz val="10"/>
            <rFont val="Noto Sans CJK SC"/>
            <family val="2"/>
          </rPr>
          <t>로 정리됩니다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자본시장 관점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주가 변동성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주주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과 회계 관점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파산 가능성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채권자</t>
        </r>
        <r>
          <rPr>
            <sz val="10"/>
            <rFont val="Arial"/>
            <family val="2"/>
          </rPr>
          <t>). 11</t>
        </r>
        <r>
          <rPr>
            <sz val="10"/>
            <rFont val="Noto Sans CJK SC"/>
            <family val="2"/>
          </rPr>
          <t>장 가치평가 결과를 투자의견으로 바꾸는 방식</t>
        </r>
        <r>
          <rPr>
            <sz val="10"/>
            <rFont val="Arial"/>
            <family val="2"/>
          </rPr>
          <t xml:space="preserve">[Ch11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16]</t>
        </r>
        <r>
          <rPr>
            <sz val="10"/>
            <rFont val="Noto Sans CJK SC"/>
            <family val="2"/>
          </rPr>
          <t>과 신용등급 논리를 대조하세요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보고서의 </t>
        </r>
        <r>
          <rPr>
            <sz val="10"/>
            <rFont val="Arial"/>
            <family val="2"/>
          </rPr>
          <t>P/B·ROE</t>
        </r>
        <r>
          <rPr>
            <sz val="10"/>
            <rFont val="Noto Sans CJK SC"/>
            <family val="2"/>
          </rPr>
          <t xml:space="preserve">가 후행인지 </t>
        </r>
        <r>
          <rPr>
            <sz val="10"/>
            <rFont val="Arial"/>
            <family val="2"/>
          </rPr>
          <t>12MF</t>
        </r>
        <r>
          <rPr>
            <sz val="10"/>
            <rFont val="Noto Sans CJK SC"/>
            <family val="2"/>
          </rPr>
          <t>인지 확인</t>
        </r>
        <r>
          <rPr>
            <sz val="10"/>
            <rFont val="Arial"/>
            <family val="2"/>
          </rPr>
          <t xml:space="preserve">[Ch03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19 </t>
        </r>
        <r>
          <rPr>
            <sz val="10"/>
            <rFont val="Noto Sans CJK SC"/>
            <family val="2"/>
          </rPr>
          <t>노트</t>
        </r>
        <r>
          <rPr>
            <sz val="10"/>
            <rFont val="Arial"/>
            <family val="2"/>
          </rPr>
          <t>].</t>
        </r>
      </text>
    </comment>
    <comment ref="C4" authorId="0" shapeId="0" xr:uid="{00000000-0006-0000-0400-000002000000}">
      <text>
        <r>
          <rPr>
            <sz val="10"/>
            <rFont val="Noto Sans CJK SC"/>
            <family val="2"/>
          </rPr>
          <t>비교 대상 보고서
① 미래에셋증권</t>
        </r>
        <r>
          <rPr>
            <sz val="10"/>
            <rFont val="Arial"/>
            <family val="2"/>
          </rPr>
          <t>, "SK</t>
        </r>
        <r>
          <rPr>
            <sz val="10"/>
            <rFont val="Noto Sans CJK SC"/>
            <family val="2"/>
          </rPr>
          <t xml:space="preserve">하이닉스 — </t>
        </r>
        <r>
          <rPr>
            <sz val="10"/>
            <rFont val="Arial"/>
            <family val="2"/>
          </rPr>
          <t xml:space="preserve">HBM </t>
        </r>
        <r>
          <rPr>
            <sz val="10"/>
            <rFont val="Noto Sans CJK SC"/>
            <family val="2"/>
          </rPr>
          <t>전선 이상무</t>
        </r>
        <r>
          <rPr>
            <sz val="10"/>
            <rFont val="Arial"/>
            <family val="2"/>
          </rPr>
          <t xml:space="preserve">", 2026.3.16, </t>
        </r>
        <r>
          <rPr>
            <sz val="10"/>
            <rFont val="Noto Sans CJK SC"/>
            <family val="2"/>
          </rPr>
          <t>애널리스트 김영건
② 한국신용평가</t>
        </r>
        <r>
          <rPr>
            <sz val="10"/>
            <rFont val="Arial"/>
            <family val="2"/>
          </rPr>
          <t xml:space="preserve">, "KIS Credit Opinion </t>
        </r>
        <r>
          <rPr>
            <sz val="10"/>
            <rFont val="Noto Sans CJK SC"/>
            <family val="2"/>
          </rPr>
          <t>에스케이하이닉스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주</t>
        </r>
        <r>
          <rPr>
            <sz val="10"/>
            <rFont val="Arial"/>
            <family val="2"/>
          </rPr>
          <t xml:space="preserve">)", </t>
        </r>
        <r>
          <rPr>
            <sz val="10"/>
            <rFont val="Noto Sans CJK SC"/>
            <family val="2"/>
          </rPr>
          <t xml:space="preserve">평가일 </t>
        </r>
        <r>
          <rPr>
            <sz val="10"/>
            <rFont val="Arial"/>
            <family val="2"/>
          </rPr>
          <t xml:space="preserve">2026.3.11, </t>
        </r>
        <r>
          <rPr>
            <sz val="10"/>
            <rFont val="Noto Sans CJK SC"/>
            <family val="2"/>
          </rPr>
          <t>김정훈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원종현
두 보고서의 발행일이 닷새 차이라 같은 정보 집합을 놓고 무엇을 달리 보는지 비교하기에 좋습니다</t>
        </r>
        <r>
          <rPr>
            <sz val="10"/>
            <rFont val="Arial"/>
            <family val="2"/>
          </rPr>
          <t>.</t>
        </r>
      </text>
    </comment>
    <comment ref="C16" authorId="0" shapeId="0" xr:uid="{00000000-0006-0000-0400-000003000000}">
      <text>
        <r>
          <rPr>
            <sz val="10"/>
            <rFont val="Noto Sans CJK SC"/>
            <family val="2"/>
          </rPr>
          <t>힌트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채권투자자는 원리금 상환 여부에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주식투자자는 성장에 따른 상승 여지에 관심이 있습니다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또한 애널리스트가 갖는 이해상충 문제</t>
        </r>
        <r>
          <rPr>
            <sz val="10"/>
            <rFont val="Arial"/>
            <family val="2"/>
          </rPr>
          <t>(e.g.</t>
        </r>
        <r>
          <rPr>
            <sz val="10"/>
            <rFont val="Noto Sans CJK SC"/>
            <family val="2"/>
          </rPr>
          <t>주관사 애널리스트의 경우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>등도 함께 고려해 보세요</t>
        </r>
        <r>
          <rPr>
            <sz val="10"/>
            <rFont val="Arial"/>
            <family val="2"/>
          </rPr>
          <t>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800-000001000000}">
      <text>
        <r>
          <rPr>
            <sz val="10"/>
            <rFont val="Noto Sans CJK SC"/>
            <family val="2"/>
          </rPr>
          <t xml:space="preserve">왜 이 시트인가 —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재무상태표를 보고 가치를 평가하는 것은 기업가치평가의 출발점</t>
        </r>
        <r>
          <rPr>
            <sz val="10"/>
            <rFont val="Arial"/>
            <family val="2"/>
          </rPr>
          <t xml:space="preserve">"[Ch02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7]. </t>
        </r>
        <r>
          <rPr>
            <sz val="10"/>
            <rFont val="Noto Sans CJK SC"/>
            <family val="2"/>
          </rPr>
          <t xml:space="preserve">이 표는 </t>
        </r>
        <r>
          <rPr>
            <sz val="10"/>
            <rFont val="Arial"/>
            <family val="2"/>
          </rPr>
          <t>6</t>
        </r>
        <r>
          <rPr>
            <sz val="10"/>
            <rFont val="Noto Sans CJK SC"/>
            <family val="2"/>
          </rPr>
          <t xml:space="preserve">장 </t>
        </r>
        <r>
          <rPr>
            <sz val="10"/>
            <rFont val="Arial"/>
            <family val="2"/>
          </rPr>
          <t xml:space="preserve">ROE </t>
        </r>
        <r>
          <rPr>
            <sz val="10"/>
            <rFont val="Noto Sans CJK SC"/>
            <family val="2"/>
          </rPr>
          <t>분해의 분모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평균총자산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평균자기자본</t>
        </r>
        <r>
          <rPr>
            <sz val="10"/>
            <rFont val="Arial"/>
            <family val="2"/>
          </rPr>
          <t xml:space="preserve">)[Ch06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12], 7</t>
        </r>
        <r>
          <rPr>
            <sz val="10"/>
            <rFont val="Noto Sans CJK SC"/>
            <family val="2"/>
          </rPr>
          <t>장 유동비율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부채비율</t>
        </r>
        <r>
          <rPr>
            <sz val="10"/>
            <rFont val="Arial"/>
            <family val="2"/>
          </rPr>
          <t xml:space="preserve">[Ch07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14], 10</t>
        </r>
        <r>
          <rPr>
            <sz val="10"/>
            <rFont val="Noto Sans CJK SC"/>
            <family val="2"/>
          </rPr>
          <t>장 추정 재무상태표의 항목 비중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회전율</t>
        </r>
        <r>
          <rPr>
            <sz val="10"/>
            <rFont val="Arial"/>
            <family val="2"/>
          </rPr>
          <t xml:space="preserve">[Ch10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12~13], 11</t>
        </r>
        <r>
          <rPr>
            <sz val="10"/>
            <rFont val="Noto Sans CJK SC"/>
            <family val="2"/>
          </rPr>
          <t xml:space="preserve">장 초과이익모형의 출발점 </t>
        </r>
        <r>
          <rPr>
            <sz val="10"/>
            <rFont val="Arial"/>
            <family val="2"/>
          </rPr>
          <t xml:space="preserve">Equity₀[Ch11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12]</t>
        </r>
        <r>
          <rPr>
            <sz val="10"/>
            <rFont val="Noto Sans CJK SC"/>
            <family val="2"/>
          </rPr>
          <t>로 다시 쓰입니다</t>
        </r>
        <r>
          <rPr>
            <sz val="10"/>
            <rFont val="Arial"/>
            <family val="2"/>
          </rPr>
          <t>.</t>
        </r>
      </text>
    </comment>
    <comment ref="AF4" authorId="0" shapeId="0" xr:uid="{00000000-0006-0000-0800-000004000000}">
      <text>
        <r>
          <rPr>
            <sz val="10"/>
            <rFont val="돋움"/>
            <family val="3"/>
            <charset val="129"/>
          </rPr>
          <t>감사에서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수행하는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분석적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절차</t>
        </r>
        <r>
          <rPr>
            <sz val="10"/>
            <rFont val="Arial"/>
            <family val="2"/>
          </rPr>
          <t>(analytical procedures)</t>
        </r>
        <r>
          <rPr>
            <sz val="10"/>
            <rFont val="돋움"/>
            <family val="3"/>
            <charset val="129"/>
          </rPr>
          <t>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같은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취지의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시계열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분석입니다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돋움"/>
            <family val="3"/>
            <charset val="129"/>
          </rPr>
          <t>전기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대비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증감율을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계산해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급격히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변동한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계정을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먼저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찾고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돋움"/>
            <family val="3"/>
            <charset val="129"/>
          </rPr>
          <t>그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계정에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대해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사업보고서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주석</t>
        </r>
        <r>
          <rPr>
            <sz val="10"/>
            <rFont val="Arial"/>
            <family val="2"/>
          </rPr>
          <t>·</t>
        </r>
        <r>
          <rPr>
            <sz val="10"/>
            <rFont val="돋움"/>
            <family val="3"/>
            <charset val="129"/>
          </rPr>
          <t>언론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보도로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설명을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찾는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순서로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진행하세요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돋움"/>
            <family val="3"/>
            <charset val="129"/>
          </rPr>
          <t>비교기업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블록을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나란히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둔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이유는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횡단면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비교를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위해서입니다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돋움"/>
            <family val="3"/>
            <charset val="129"/>
          </rPr>
          <t>두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기업이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같은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방향으로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움직였다면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산업</t>
        </r>
        <r>
          <rPr>
            <sz val="10"/>
            <rFont val="Arial"/>
            <family val="2"/>
          </rPr>
          <t>·</t>
        </r>
        <r>
          <rPr>
            <sz val="10"/>
            <rFont val="돋움"/>
            <family val="3"/>
            <charset val="129"/>
          </rPr>
          <t>시장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전반의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변화이고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돋움"/>
            <family val="3"/>
            <charset val="129"/>
          </rPr>
          <t>대상기업만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움직였다면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그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기업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고유의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사정입니다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돋움"/>
            <family val="3"/>
            <charset val="129"/>
          </rPr>
          <t>어느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쪽인지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구분해야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원인을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제대로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짚을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있습니다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돋움"/>
            <family val="3"/>
            <charset val="129"/>
          </rPr>
          <t>전기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값이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음수인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계정</t>
        </r>
        <r>
          <rPr>
            <sz val="10"/>
            <rFont val="Arial"/>
            <family val="2"/>
          </rPr>
          <t>(</t>
        </r>
        <r>
          <rPr>
            <sz val="10"/>
            <rFont val="돋움"/>
            <family val="3"/>
            <charset val="129"/>
          </rPr>
          <t>기타자본항목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등</t>
        </r>
        <r>
          <rPr>
            <sz val="10"/>
            <rFont val="Arial"/>
            <family val="2"/>
          </rPr>
          <t>)</t>
        </r>
        <r>
          <rPr>
            <sz val="10"/>
            <rFont val="돋움"/>
            <family val="3"/>
            <charset val="129"/>
          </rPr>
          <t>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증감율의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부호가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직관과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반대로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나옵니다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돋움"/>
            <family val="3"/>
            <charset val="129"/>
          </rPr>
          <t>전기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값이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>0</t>
        </r>
        <r>
          <rPr>
            <sz val="10"/>
            <rFont val="돋움"/>
            <family val="3"/>
            <charset val="129"/>
          </rPr>
          <t>이거나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비어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있으면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계산하지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않고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공란으로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둡니다</t>
        </r>
        <r>
          <rPr>
            <sz val="10"/>
            <rFont val="Arial"/>
            <family val="2"/>
          </rPr>
          <t>.</t>
        </r>
      </text>
    </comment>
    <comment ref="C39" authorId="0" shapeId="0" xr:uid="{00000000-0006-0000-0800-000002000000}">
      <text>
        <r>
          <rPr>
            <sz val="10"/>
            <rFont val="돋움"/>
            <family val="3"/>
            <charset val="129"/>
          </rPr>
          <t>비지배지분을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따로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두는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이유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돋움"/>
            <family val="3"/>
            <charset val="129"/>
          </rPr>
          <t>시가총액</t>
        </r>
        <r>
          <rPr>
            <sz val="10"/>
            <rFont val="Arial"/>
            <family val="2"/>
          </rPr>
          <t>·</t>
        </r>
        <r>
          <rPr>
            <sz val="10"/>
            <rFont val="돋움"/>
            <family val="3"/>
            <charset val="129"/>
          </rPr>
          <t>지배주주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순이익</t>
        </r>
        <r>
          <rPr>
            <sz val="10"/>
            <rFont val="Arial"/>
            <family val="2"/>
          </rPr>
          <t>·</t>
        </r>
        <r>
          <rPr>
            <sz val="10"/>
            <rFont val="돋움"/>
            <family val="3"/>
            <charset val="129"/>
          </rPr>
          <t>배당은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모회사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주주의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몫이므로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>PBR</t>
        </r>
        <r>
          <rPr>
            <sz val="10"/>
            <rFont val="돋움"/>
            <family val="3"/>
            <charset val="129"/>
          </rPr>
          <t>과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초과이익모형의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장부가치는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자본총계가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아니라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지배기업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소유주지분입니다</t>
        </r>
        <r>
          <rPr>
            <sz val="10"/>
            <rFont val="Arial"/>
            <family val="2"/>
          </rPr>
          <t xml:space="preserve">(2-3 </t>
        </r>
        <r>
          <rPr>
            <sz val="10"/>
            <rFont val="돋움"/>
            <family val="3"/>
            <charset val="129"/>
          </rPr>
          <t>시트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>9</t>
        </r>
        <r>
          <rPr>
            <sz val="10"/>
            <rFont val="돋움"/>
            <family val="3"/>
            <charset val="129"/>
          </rPr>
          <t>행</t>
        </r>
        <r>
          <rPr>
            <sz val="10"/>
            <rFont val="Arial"/>
            <family val="2"/>
          </rPr>
          <t>). 11</t>
        </r>
        <r>
          <rPr>
            <sz val="10"/>
            <rFont val="돋움"/>
            <family val="3"/>
            <charset val="129"/>
          </rPr>
          <t>장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>"</t>
        </r>
        <r>
          <rPr>
            <sz val="10"/>
            <rFont val="돋움"/>
            <family val="3"/>
            <charset val="129"/>
          </rPr>
          <t>자기자본비용은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주주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몫만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계산</t>
        </r>
        <r>
          <rPr>
            <sz val="10"/>
            <rFont val="Arial"/>
            <family val="2"/>
          </rPr>
          <t xml:space="preserve">"[Ch11 </t>
        </r>
        <r>
          <rPr>
            <sz val="10"/>
            <rFont val="돋움"/>
            <family val="3"/>
            <charset val="129"/>
          </rPr>
          <t>슬라이드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>5</t>
        </r>
        <r>
          <rPr>
            <sz val="10"/>
            <rFont val="Arial"/>
            <family val="2"/>
          </rPr>
          <t>]</t>
        </r>
        <r>
          <rPr>
            <sz val="10"/>
            <rFont val="돋움"/>
            <family val="3"/>
            <charset val="129"/>
          </rPr>
          <t>과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같은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논리</t>
        </r>
        <r>
          <rPr>
            <sz val="10"/>
            <rFont val="Arial"/>
            <family val="2"/>
          </rPr>
          <t xml:space="preserve">. Penman(2013) </t>
        </r>
        <r>
          <rPr>
            <sz val="10"/>
            <rFont val="돋움"/>
            <family val="3"/>
            <charset val="129"/>
          </rPr>
          <t>재무제표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재구성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참조</t>
        </r>
        <r>
          <rPr>
            <sz val="10"/>
            <rFont val="Arial"/>
            <family val="2"/>
          </rPr>
          <t>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900-000001000000}">
      <text>
        <r>
          <rPr>
            <sz val="10"/>
            <rFont val="Noto Sans CJK SC"/>
            <family val="2"/>
          </rPr>
          <t>어떤 자산이 가장 큰 비중인가</t>
        </r>
        <r>
          <rPr>
            <sz val="10"/>
            <rFont val="Arial"/>
            <family val="2"/>
          </rPr>
          <t xml:space="preserve">? </t>
        </r>
        <r>
          <rPr>
            <sz val="10"/>
            <rFont val="Noto Sans CJK SC"/>
            <family val="2"/>
          </rPr>
          <t>그 비중이 이 회사의 사업모형과 어떻게 연결되는가</t>
        </r>
        <r>
          <rPr>
            <sz val="10"/>
            <rFont val="Arial"/>
            <family val="2"/>
          </rPr>
          <t>?</t>
        </r>
      </text>
    </comment>
    <comment ref="D6" authorId="0" shapeId="0" xr:uid="{00000000-0006-0000-0900-000002000000}">
      <text>
        <r>
          <rPr>
            <sz val="10"/>
            <rFont val="Noto Sans CJK SC"/>
            <family val="2"/>
          </rPr>
          <t>비중이 뚜렷하게 늘거나 준 항목이 있는가</t>
        </r>
        <r>
          <rPr>
            <sz val="10"/>
            <rFont val="Arial"/>
            <family val="2"/>
          </rPr>
          <t xml:space="preserve">? </t>
        </r>
        <r>
          <rPr>
            <sz val="10"/>
            <rFont val="Noto Sans CJK SC"/>
            <family val="2"/>
          </rPr>
          <t>설비투자</t>
        </r>
        <r>
          <rPr>
            <sz val="10"/>
            <rFont val="Arial"/>
            <family val="2"/>
          </rPr>
          <t xml:space="preserve">·M&amp;A </t>
        </r>
        <r>
          <rPr>
            <sz val="10"/>
            <rFont val="Noto Sans CJK SC"/>
            <family val="2"/>
          </rPr>
          <t>등 어떤 사건과 맞물리는가</t>
        </r>
        <r>
          <rPr>
            <sz val="10"/>
            <rFont val="Arial"/>
            <family val="2"/>
          </rPr>
          <t>?</t>
        </r>
      </text>
    </comment>
    <comment ref="D7" authorId="0" shapeId="0" xr:uid="{00000000-0006-0000-0900-000003000000}">
      <text>
        <r>
          <rPr>
            <sz val="10"/>
            <rFont val="Noto Sans CJK SC"/>
            <family val="2"/>
          </rPr>
          <t>자금의 원천이 채권자인가 주주인가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레버리지 수준은 동종업계 대비 어떤가</t>
        </r>
        <r>
          <rPr>
            <sz val="10"/>
            <rFont val="Arial"/>
            <family val="2"/>
          </rPr>
          <t>?</t>
        </r>
      </text>
    </comment>
    <comment ref="D8" authorId="0" shapeId="0" xr:uid="{00000000-0006-0000-0900-000004000000}">
      <text>
        <r>
          <rPr>
            <sz val="10"/>
            <rFont val="Noto Sans CJK SC"/>
            <family val="2"/>
          </rPr>
          <t>유동부채 비중이 높다면 단기 상환 부담은 감당 가능한가</t>
        </r>
        <r>
          <rPr>
            <sz val="10"/>
            <rFont val="Arial"/>
            <family val="2"/>
          </rPr>
          <t>?</t>
        </r>
      </text>
    </comment>
    <comment ref="D9" authorId="0" shapeId="0" xr:uid="{00000000-0006-0000-0900-000005000000}">
      <text>
        <r>
          <rPr>
            <sz val="10"/>
            <rFont val="Noto Sans CJK SC"/>
            <family val="2"/>
          </rPr>
          <t>공통형 수치에서 두 회사가 가장 크게 갈리는 항목은 무엇이고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왜 그런가</t>
        </r>
        <r>
          <rPr>
            <sz val="10"/>
            <rFont val="Arial"/>
            <family val="2"/>
          </rPr>
          <t>?</t>
        </r>
      </text>
    </comment>
    <comment ref="D10" authorId="0" shapeId="0" xr:uid="{00000000-0006-0000-0900-000006000000}">
      <text>
        <r>
          <rPr>
            <sz val="10"/>
            <rFont val="Noto Sans CJK SC"/>
            <family val="2"/>
          </rPr>
          <t>브랜드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인력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판매계약 등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강의노트 </t>
        </r>
        <r>
          <rPr>
            <sz val="10"/>
            <rFont val="Arial"/>
            <family val="2"/>
          </rPr>
          <t>4</t>
        </r>
        <r>
          <rPr>
            <sz val="10"/>
            <rFont val="Noto Sans CJK SC"/>
            <family val="2"/>
          </rPr>
          <t>절 참고</t>
        </r>
        <r>
          <rPr>
            <sz val="10"/>
            <rFont val="Arial"/>
            <family val="2"/>
          </rPr>
          <t>.</t>
        </r>
      </text>
    </comment>
    <comment ref="D11" authorId="0" shapeId="0" xr:uid="{00000000-0006-0000-0900-000007000000}">
      <text>
        <r>
          <rPr>
            <sz val="10"/>
            <rFont val="Noto Sans CJK SC"/>
            <family val="2"/>
          </rPr>
          <t>주석의 우발채무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보증채무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소송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약정사항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강의노트 </t>
        </r>
        <r>
          <rPr>
            <sz val="10"/>
            <rFont val="Arial"/>
            <family val="2"/>
          </rPr>
          <t>5</t>
        </r>
        <r>
          <rPr>
            <sz val="10"/>
            <rFont val="Noto Sans CJK SC"/>
            <family val="2"/>
          </rPr>
          <t>절 참고</t>
        </r>
        <r>
          <rPr>
            <sz val="10"/>
            <rFont val="Arial"/>
            <family val="2"/>
          </rPr>
          <t>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10" authorId="0" shapeId="0" xr:uid="{00000000-0006-0000-0A00-000007000000}">
      <text>
        <r>
          <rPr>
            <sz val="10"/>
            <rFont val="돋움"/>
            <family val="3"/>
            <charset val="129"/>
          </rPr>
          <t>주식수는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사업보고서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>"</t>
        </r>
        <r>
          <rPr>
            <sz val="10"/>
            <rFont val="돋움"/>
            <family val="3"/>
            <charset val="129"/>
          </rPr>
          <t>주식의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총수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등</t>
        </r>
        <r>
          <rPr>
            <sz val="10"/>
            <rFont val="Arial"/>
            <family val="2"/>
          </rPr>
          <t xml:space="preserve">" </t>
        </r>
        <r>
          <rPr>
            <sz val="10"/>
            <rFont val="돋움"/>
            <family val="3"/>
            <charset val="129"/>
          </rPr>
          <t>기준</t>
        </r>
        <r>
          <rPr>
            <sz val="10"/>
            <rFont val="Arial"/>
            <family val="2"/>
          </rPr>
          <t>.</t>
        </r>
      </text>
    </comment>
    <comment ref="C13" authorId="0" shapeId="0" xr:uid="{00000000-0006-0000-0A00-000001000000}">
      <text>
        <r>
          <rPr>
            <sz val="10"/>
            <rFont val="Noto Sans CJK SC"/>
            <family val="2"/>
          </rPr>
          <t>결산일 종가를 쓰는 이유</t>
        </r>
        <r>
          <rPr>
            <sz val="10"/>
            <rFont val="Arial"/>
            <family val="2"/>
          </rPr>
          <t>: PBR</t>
        </r>
        <r>
          <rPr>
            <sz val="10"/>
            <rFont val="Noto Sans CJK SC"/>
            <family val="2"/>
          </rPr>
          <t>의 분모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장부가치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가 결산일 값이기 때문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다만 결산 재무제표는 익년 </t>
        </r>
        <r>
          <rPr>
            <sz val="10"/>
            <rFont val="Arial"/>
            <family val="2"/>
          </rPr>
          <t>3</t>
        </r>
        <r>
          <rPr>
            <sz val="10"/>
            <rFont val="Noto Sans CJK SC"/>
            <family val="2"/>
          </rPr>
          <t>월경 공시되므로</t>
        </r>
        <r>
          <rPr>
            <sz val="10"/>
            <rFont val="Arial"/>
            <family val="2"/>
          </rPr>
          <t>, 12</t>
        </r>
        <r>
          <rPr>
            <sz val="10"/>
            <rFont val="Noto Sans CJK SC"/>
            <family val="2"/>
          </rPr>
          <t xml:space="preserve">월 말과 익년 </t>
        </r>
        <r>
          <rPr>
            <sz val="10"/>
            <rFont val="Arial"/>
            <family val="2"/>
          </rPr>
          <t>3</t>
        </r>
        <r>
          <rPr>
            <sz val="10"/>
            <rFont val="Noto Sans CJK SC"/>
            <family val="2"/>
          </rPr>
          <t xml:space="preserve">월 말 두 시점으로 계산해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시장이 그 정보를 알기 전과 후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를 비교하는 것이 교재의 설계</t>
        </r>
        <r>
          <rPr>
            <sz val="10"/>
            <rFont val="Arial"/>
            <family val="2"/>
          </rPr>
          <t xml:space="preserve">[Ch02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23 </t>
        </r>
        <r>
          <rPr>
            <sz val="10"/>
            <rFont val="Noto Sans CJK SC"/>
            <family val="2"/>
          </rPr>
          <t>노트</t>
        </r>
        <r>
          <rPr>
            <sz val="10"/>
            <rFont val="Arial"/>
            <family val="2"/>
          </rPr>
          <t>].</t>
        </r>
      </text>
    </comment>
    <comment ref="C15" authorId="0" shapeId="0" xr:uid="{00000000-0006-0000-0A00-000002000000}">
      <text>
        <r>
          <rPr>
            <sz val="10"/>
            <rFont val="돋움"/>
            <family val="3"/>
            <charset val="129"/>
          </rPr>
          <t>주당순자산</t>
        </r>
        <r>
          <rPr>
            <sz val="10"/>
            <rFont val="Arial"/>
            <family val="2"/>
          </rPr>
          <t>(BPS)</t>
        </r>
        <r>
          <rPr>
            <sz val="10"/>
            <rFont val="돋움"/>
            <family val="3"/>
            <charset val="129"/>
          </rPr>
          <t>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>11</t>
        </r>
        <r>
          <rPr>
            <sz val="10"/>
            <rFont val="돋움"/>
            <family val="3"/>
            <charset val="129"/>
          </rPr>
          <t>장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상대가치</t>
        </r>
        <r>
          <rPr>
            <sz val="10"/>
            <rFont val="Arial"/>
            <family val="2"/>
          </rPr>
          <t>(PBR)</t>
        </r>
        <r>
          <rPr>
            <sz val="10"/>
            <rFont val="돋움"/>
            <family val="3"/>
            <charset val="129"/>
          </rPr>
          <t>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초과이익모형의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입력값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>"</t>
        </r>
        <r>
          <rPr>
            <sz val="10"/>
            <rFont val="돋움"/>
            <family val="3"/>
            <charset val="129"/>
          </rPr>
          <t>주당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자기자본</t>
        </r>
        <r>
          <rPr>
            <sz val="10"/>
            <rFont val="Arial"/>
            <family val="2"/>
          </rPr>
          <t xml:space="preserve">"[Ch11 </t>
        </r>
        <r>
          <rPr>
            <sz val="10"/>
            <rFont val="돋움"/>
            <family val="3"/>
            <charset val="129"/>
          </rPr>
          <t>슬라이드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 xml:space="preserve">5]. </t>
        </r>
        <r>
          <rPr>
            <sz val="10"/>
            <rFont val="돋움"/>
            <family val="3"/>
            <charset val="129"/>
          </rPr>
          <t>유통주식수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기준으로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계산해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시가총액의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주식수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정의와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맞춥니다</t>
        </r>
        <r>
          <rPr>
            <sz val="10"/>
            <rFont val="Arial"/>
            <family val="2"/>
          </rPr>
          <t>.</t>
        </r>
      </text>
    </comment>
    <comment ref="C16" authorId="0" shapeId="0" xr:uid="{00000000-0006-0000-0A00-000003000000}">
      <text>
        <r>
          <rPr>
            <sz val="10"/>
            <rFont val="Arial"/>
            <family val="2"/>
          </rPr>
          <t xml:space="preserve">PBR = </t>
        </r>
        <r>
          <rPr>
            <sz val="10"/>
            <rFont val="돋움"/>
            <family val="3"/>
            <charset val="129"/>
          </rPr>
          <t>시가총액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돋움"/>
            <family val="3"/>
            <charset val="129"/>
          </rPr>
          <t>자본의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장부금액</t>
        </r>
        <r>
          <rPr>
            <sz val="10"/>
            <rFont val="Arial"/>
            <family val="2"/>
          </rPr>
          <t xml:space="preserve">[Ch02 </t>
        </r>
        <r>
          <rPr>
            <sz val="10"/>
            <rFont val="돋움"/>
            <family val="3"/>
            <charset val="129"/>
          </rPr>
          <t>슬라이드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>23]. 1</t>
        </r>
        <r>
          <rPr>
            <sz val="10"/>
            <rFont val="돋움"/>
            <family val="3"/>
            <charset val="129"/>
          </rPr>
          <t>보다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큰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이유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세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가지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돋움"/>
            <family val="3"/>
            <charset val="129"/>
          </rPr>
          <t>①</t>
        </r>
        <r>
          <rPr>
            <sz val="10"/>
            <rFont val="Arial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잠재적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자산</t>
        </r>
        <r>
          <rPr>
            <sz val="10"/>
            <rFont val="Arial"/>
            <family val="2"/>
          </rPr>
          <t>·</t>
        </r>
        <r>
          <rPr>
            <sz val="10"/>
            <rFont val="돋움"/>
            <family val="3"/>
            <charset val="129"/>
          </rPr>
          <t>저평가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자산</t>
        </r>
        <r>
          <rPr>
            <sz val="10"/>
            <rFont val="Arial"/>
            <family val="2"/>
          </rPr>
          <t>(</t>
        </r>
        <r>
          <rPr>
            <sz val="10"/>
            <rFont val="돋움"/>
            <family val="3"/>
            <charset val="129"/>
          </rPr>
          <t>측정의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문제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돋움"/>
            <family val="3"/>
            <charset val="129"/>
          </rPr>
          <t>②</t>
        </r>
        <r>
          <rPr>
            <sz val="10"/>
            <rFont val="Arial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장부는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과거회고적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돋움"/>
            <family val="3"/>
            <charset val="129"/>
          </rPr>
          <t>시장은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미래지향적</t>
        </r>
        <r>
          <rPr>
            <sz val="10"/>
            <rFont val="Arial"/>
            <family val="2"/>
          </rPr>
          <t>(</t>
        </r>
        <r>
          <rPr>
            <sz val="10"/>
            <rFont val="돋움"/>
            <family val="3"/>
            <charset val="129"/>
          </rPr>
          <t>시점의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문제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돋움"/>
            <family val="3"/>
            <charset val="129"/>
          </rPr>
          <t>③</t>
        </r>
        <r>
          <rPr>
            <sz val="10"/>
            <rFont val="Arial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시장이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효율적이라는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가정</t>
        </r>
        <r>
          <rPr>
            <sz val="10"/>
            <rFont val="Arial"/>
            <family val="2"/>
          </rPr>
          <t>. "PBR</t>
        </r>
        <r>
          <rPr>
            <sz val="10"/>
            <rFont val="돋움"/>
            <family val="3"/>
            <charset val="129"/>
          </rPr>
          <t>이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낮으면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싸다</t>
        </r>
        <r>
          <rPr>
            <sz val="10"/>
            <rFont val="Arial"/>
            <family val="2"/>
          </rPr>
          <t>"</t>
        </r>
        <r>
          <rPr>
            <sz val="10"/>
            <rFont val="돋움"/>
            <family val="3"/>
            <charset val="129"/>
          </rPr>
          <t>는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위험</t>
        </r>
        <r>
          <rPr>
            <sz val="10"/>
            <rFont val="Noto Sans CJK SC"/>
            <family val="2"/>
          </rPr>
          <t xml:space="preserve"> — </t>
        </r>
        <r>
          <rPr>
            <sz val="10"/>
            <rFont val="Arial"/>
            <family val="2"/>
          </rPr>
          <t>PBR = PER × ROE</t>
        </r>
        <r>
          <rPr>
            <sz val="10"/>
            <rFont val="돋움"/>
            <family val="3"/>
            <charset val="129"/>
          </rPr>
          <t>이므로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>ROE</t>
        </r>
        <r>
          <rPr>
            <sz val="10"/>
            <rFont val="돋움"/>
            <family val="3"/>
            <charset val="129"/>
          </rPr>
          <t>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낮은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기업의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>PBR</t>
        </r>
        <r>
          <rPr>
            <sz val="10"/>
            <rFont val="돋움"/>
            <family val="3"/>
            <charset val="129"/>
          </rPr>
          <t>이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낮은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것은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당연</t>
        </r>
      </text>
    </comment>
    <comment ref="C17" authorId="0" shapeId="0" xr:uid="{00000000-0006-0000-0A00-000004000000}">
      <text>
        <r>
          <rPr>
            <sz val="10"/>
            <rFont val="Arial"/>
            <family val="2"/>
          </rPr>
          <t xml:space="preserve">ROE = </t>
        </r>
        <r>
          <rPr>
            <sz val="10"/>
            <rFont val="돋움"/>
            <family val="3"/>
            <charset val="129"/>
          </rPr>
          <t>당기순이익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돋움"/>
            <family val="3"/>
            <charset val="129"/>
          </rPr>
          <t>평균자기자본</t>
        </r>
        <r>
          <rPr>
            <sz val="10"/>
            <rFont val="Arial"/>
            <family val="2"/>
          </rPr>
          <t xml:space="preserve">[Ch06 </t>
        </r>
        <r>
          <rPr>
            <sz val="10"/>
            <rFont val="돋움"/>
            <family val="3"/>
            <charset val="129"/>
          </rPr>
          <t>슬라이드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 xml:space="preserve">11]. </t>
        </r>
        <r>
          <rPr>
            <sz val="10"/>
            <rFont val="돋움"/>
            <family val="3"/>
            <charset val="129"/>
          </rPr>
          <t>여기서는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지배주주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순이익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돋움"/>
            <family val="3"/>
            <charset val="129"/>
          </rPr>
          <t>평균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지배지분</t>
        </r>
        <r>
          <rPr>
            <sz val="10"/>
            <rFont val="Arial"/>
            <family val="2"/>
          </rPr>
          <t>. 6</t>
        </r>
        <r>
          <rPr>
            <sz val="10"/>
            <rFont val="돋움"/>
            <family val="3"/>
            <charset val="129"/>
          </rPr>
          <t>장에서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 xml:space="preserve">ROE = </t>
        </r>
        <r>
          <rPr>
            <sz val="10"/>
            <rFont val="돋움"/>
            <family val="3"/>
            <charset val="129"/>
          </rPr>
          <t>자본부채이익비율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 xml:space="preserve">× ROA × </t>
        </r>
        <r>
          <rPr>
            <sz val="10"/>
            <rFont val="돋움"/>
            <family val="3"/>
            <charset val="129"/>
          </rPr>
          <t>자산자본비율로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분해하고</t>
        </r>
        <r>
          <rPr>
            <sz val="10"/>
            <rFont val="Arial"/>
            <family val="2"/>
          </rPr>
          <t xml:space="preserve">[Ch06 </t>
        </r>
        <r>
          <rPr>
            <sz val="10"/>
            <rFont val="돋움"/>
            <family val="3"/>
            <charset val="129"/>
          </rPr>
          <t>슬라이드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>12], 11</t>
        </r>
        <r>
          <rPr>
            <sz val="10"/>
            <rFont val="돋움"/>
            <family val="3"/>
            <charset val="129"/>
          </rPr>
          <t>장에서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초과이익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 xml:space="preserve">= (ROE </t>
        </r>
        <r>
          <rPr>
            <sz val="10"/>
            <rFont val="돋움"/>
            <family val="3"/>
            <charset val="129"/>
          </rPr>
          <t>−</t>
        </r>
        <r>
          <rPr>
            <sz val="10"/>
            <rFont val="Arial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자기자본비용</t>
        </r>
        <r>
          <rPr>
            <sz val="10"/>
            <rFont val="Arial"/>
            <family val="2"/>
          </rPr>
          <t xml:space="preserve">) × </t>
        </r>
        <r>
          <rPr>
            <sz val="10"/>
            <rFont val="돋움"/>
            <family val="3"/>
            <charset val="129"/>
          </rPr>
          <t>기초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자본으로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씁니다</t>
        </r>
        <r>
          <rPr>
            <sz val="10"/>
            <rFont val="Arial"/>
            <family val="2"/>
          </rPr>
          <t xml:space="preserve">[Ch11 </t>
        </r>
        <r>
          <rPr>
            <sz val="10"/>
            <rFont val="돋움"/>
            <family val="3"/>
            <charset val="129"/>
          </rPr>
          <t>슬라이드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>12]. "6</t>
        </r>
        <r>
          <rPr>
            <sz val="10"/>
            <rFont val="돋움"/>
            <family val="3"/>
            <charset val="129"/>
          </rPr>
          <t>장에서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>ROE</t>
        </r>
        <r>
          <rPr>
            <sz val="10"/>
            <rFont val="돋움"/>
            <family val="3"/>
            <charset val="129"/>
          </rPr>
          <t>를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자세히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배운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이유가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>11</t>
        </r>
        <r>
          <rPr>
            <sz val="10"/>
            <rFont val="돋움"/>
            <family val="3"/>
            <charset val="129"/>
          </rPr>
          <t>장에서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돋움"/>
            <family val="3"/>
            <charset val="129"/>
          </rPr>
          <t>드러난다</t>
        </r>
        <r>
          <rPr>
            <sz val="10"/>
            <rFont val="Arial"/>
            <family val="2"/>
          </rPr>
          <t xml:space="preserve">"[Ch11 </t>
        </r>
        <r>
          <rPr>
            <sz val="10"/>
            <rFont val="돋움"/>
            <family val="3"/>
            <charset val="129"/>
          </rPr>
          <t>슬라이드</t>
        </r>
        <r>
          <rPr>
            <sz val="10"/>
            <rFont val="Noto Sans CJK SC"/>
            <family val="2"/>
          </rPr>
          <t xml:space="preserve"> </t>
        </r>
        <r>
          <rPr>
            <sz val="10"/>
            <rFont val="Arial"/>
            <family val="2"/>
          </rPr>
          <t xml:space="preserve">12 </t>
        </r>
        <r>
          <rPr>
            <sz val="10"/>
            <rFont val="돋움"/>
            <family val="3"/>
            <charset val="129"/>
          </rPr>
          <t>노트</t>
        </r>
        <r>
          <rPr>
            <sz val="10"/>
            <rFont val="Arial"/>
            <family val="2"/>
          </rPr>
          <t>].</t>
        </r>
      </text>
    </comment>
    <comment ref="D17" authorId="0" shapeId="0" xr:uid="{00000000-0006-0000-0A00-000006000000}">
      <text>
        <r>
          <rPr>
            <sz val="10"/>
            <rFont val="Arial"/>
            <family val="2"/>
          </rPr>
          <t>2020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>ROE</t>
        </r>
        <r>
          <rPr>
            <sz val="10"/>
            <rFont val="Noto Sans CJK SC"/>
            <family val="2"/>
          </rPr>
          <t xml:space="preserve">는 </t>
        </r>
        <r>
          <rPr>
            <sz val="10"/>
            <rFont val="Arial"/>
            <family val="2"/>
          </rPr>
          <t>2019</t>
        </r>
        <r>
          <rPr>
            <sz val="10"/>
            <rFont val="Noto Sans CJK SC"/>
            <family val="2"/>
          </rPr>
          <t>년 말 지배지분이 이 파일에 없어 값으로 입력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 xml:space="preserve">지배주주순이익 </t>
        </r>
        <r>
          <rPr>
            <sz val="10"/>
            <rFont val="Arial"/>
            <family val="2"/>
          </rPr>
          <t xml:space="preserve">4,755,102 ÷ </t>
        </r>
        <r>
          <rPr>
            <sz val="10"/>
            <rFont val="Noto Sans CJK SC"/>
            <family val="2"/>
          </rPr>
          <t>평균 지배지분</t>
        </r>
        <r>
          <rPr>
            <sz val="10"/>
            <rFont val="Arial"/>
            <family val="2"/>
          </rPr>
          <t>). 2019</t>
        </r>
        <r>
          <rPr>
            <sz val="10"/>
            <rFont val="Noto Sans CJK SC"/>
            <family val="2"/>
          </rPr>
          <t>년 재무상태표를 추가하면 옆 열처럼 수식으로 바꾸세요</t>
        </r>
        <r>
          <rPr>
            <sz val="10"/>
            <rFont val="Arial"/>
            <family val="2"/>
          </rPr>
          <t>.</t>
        </r>
      </text>
    </comment>
    <comment ref="K17" authorId="0" shapeId="0" xr:uid="{00000000-0006-0000-0A00-000008000000}">
      <text>
        <r>
          <rPr>
            <sz val="10"/>
            <rFont val="Arial"/>
            <family val="2"/>
          </rPr>
          <t>2020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>ROE</t>
        </r>
        <r>
          <rPr>
            <sz val="10"/>
            <rFont val="Noto Sans CJK SC"/>
            <family val="2"/>
          </rPr>
          <t xml:space="preserve">는 </t>
        </r>
        <r>
          <rPr>
            <sz val="10"/>
            <rFont val="Arial"/>
            <family val="2"/>
          </rPr>
          <t>2019</t>
        </r>
        <r>
          <rPr>
            <sz val="10"/>
            <rFont val="Noto Sans CJK SC"/>
            <family val="2"/>
          </rPr>
          <t>년 말 지배지분이 이 파일에 없어 값으로 입력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 xml:space="preserve">지배주주순이익 </t>
        </r>
        <r>
          <rPr>
            <sz val="10"/>
            <rFont val="Arial"/>
            <family val="2"/>
          </rPr>
          <t xml:space="preserve">4,755,102 ÷ </t>
        </r>
        <r>
          <rPr>
            <sz val="10"/>
            <rFont val="Noto Sans CJK SC"/>
            <family val="2"/>
          </rPr>
          <t>평균 지배지분</t>
        </r>
        <r>
          <rPr>
            <sz val="10"/>
            <rFont val="Arial"/>
            <family val="2"/>
          </rPr>
          <t>). 2019</t>
        </r>
        <r>
          <rPr>
            <sz val="10"/>
            <rFont val="Noto Sans CJK SC"/>
            <family val="2"/>
          </rPr>
          <t>년 재무상태표를 추가하면 옆 열처럼 수식으로 바꾸세요</t>
        </r>
        <r>
          <rPr>
            <sz val="10"/>
            <rFont val="Arial"/>
            <family val="2"/>
          </rPr>
          <t>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D00-000001000000}">
      <text>
        <r>
          <rPr>
            <sz val="10"/>
            <rFont val="Noto Sans CJK SC"/>
            <family val="2"/>
          </rPr>
          <t>손익계산서의 구조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매출 → 매출총이익 → 영업이익 → 세전 → 순이익</t>
        </r>
        <r>
          <rPr>
            <sz val="10"/>
            <rFont val="Arial"/>
            <family val="2"/>
          </rPr>
          <t xml:space="preserve">)[Ch03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5]. </t>
        </r>
        <r>
          <rPr>
            <sz val="10"/>
            <rFont val="Noto Sans CJK SC"/>
            <family val="2"/>
          </rPr>
          <t>공통형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증감율은 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 xml:space="preserve">장과 같은 도구이며 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 xml:space="preserve">시계열로 튀는 해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Noto Sans CJK SC"/>
            <family val="2"/>
          </rPr>
          <t>비교기업과의 격차</t>
        </r>
        <r>
          <rPr>
            <sz val="10"/>
            <rFont val="Arial"/>
            <family val="2"/>
          </rPr>
          <t>"</t>
        </r>
        <r>
          <rPr>
            <sz val="10"/>
            <rFont val="Noto Sans CJK SC"/>
            <family val="2"/>
          </rPr>
          <t>를 함께 봐야 한다</t>
        </r>
        <r>
          <rPr>
            <sz val="10"/>
            <rFont val="Arial"/>
            <family val="2"/>
          </rPr>
          <t xml:space="preserve">[Ch03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18]. </t>
        </r>
        <r>
          <rPr>
            <sz val="10"/>
            <rFont val="Noto Sans CJK SC"/>
            <family val="2"/>
          </rPr>
          <t>여기 입력한 순이익</t>
        </r>
        <r>
          <rPr>
            <sz val="10"/>
            <rFont val="Arial"/>
            <family val="2"/>
          </rPr>
          <t>·EPS</t>
        </r>
        <r>
          <rPr>
            <sz val="10"/>
            <rFont val="Noto Sans CJK SC"/>
            <family val="2"/>
          </rPr>
          <t xml:space="preserve">는 </t>
        </r>
        <r>
          <rPr>
            <sz val="10"/>
            <rFont val="Arial"/>
            <family val="2"/>
          </rPr>
          <t>3-3 PER, 4</t>
        </r>
        <r>
          <rPr>
            <sz val="10"/>
            <rFont val="Noto Sans CJK SC"/>
            <family val="2"/>
          </rPr>
          <t>장 이익의 질</t>
        </r>
        <r>
          <rPr>
            <sz val="10"/>
            <rFont val="Arial"/>
            <family val="2"/>
          </rPr>
          <t xml:space="preserve">(OCF − </t>
        </r>
        <r>
          <rPr>
            <sz val="10"/>
            <rFont val="Noto Sans CJK SC"/>
            <family val="2"/>
          </rPr>
          <t xml:space="preserve">감가상각비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 CJK SC"/>
            <family val="2"/>
          </rPr>
          <t>순이익</t>
        </r>
        <r>
          <rPr>
            <sz val="10"/>
            <rFont val="Arial"/>
            <family val="2"/>
          </rPr>
          <t xml:space="preserve">)[Ch04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13], 6</t>
        </r>
        <r>
          <rPr>
            <sz val="10"/>
            <rFont val="Noto Sans CJK SC"/>
            <family val="2"/>
          </rPr>
          <t xml:space="preserve">장 </t>
        </r>
        <r>
          <rPr>
            <sz val="10"/>
            <rFont val="Arial"/>
            <family val="2"/>
          </rPr>
          <t xml:space="preserve">ROA·ROE[Ch06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6, 11], 11</t>
        </r>
        <r>
          <rPr>
            <sz val="10"/>
            <rFont val="Noto Sans CJK SC"/>
            <family val="2"/>
          </rPr>
          <t xml:space="preserve">장 초과이익모형의 </t>
        </r>
        <r>
          <rPr>
            <sz val="10"/>
            <rFont val="Arial"/>
            <family val="2"/>
          </rPr>
          <t xml:space="preserve">NI[Ch11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>12]</t>
        </r>
        <r>
          <rPr>
            <sz val="10"/>
            <rFont val="Noto Sans CJK SC"/>
            <family val="2"/>
          </rPr>
          <t>로 재사용된다</t>
        </r>
        <r>
          <rPr>
            <sz val="10"/>
            <rFont val="Arial"/>
            <family val="2"/>
          </rPr>
          <t>.</t>
        </r>
      </text>
    </comment>
    <comment ref="C17" authorId="0" shapeId="0" xr:uid="{00000000-0006-0000-0D00-000002000000}">
      <text>
        <r>
          <rPr>
            <sz val="10"/>
            <rFont val="Arial"/>
            <family val="2"/>
          </rPr>
          <t>PBR·PER·ROE·</t>
        </r>
        <r>
          <rPr>
            <sz val="10"/>
            <rFont val="Noto Sans CJK SC"/>
            <family val="2"/>
          </rPr>
          <t>초과이익모형은 모두 지배기업 소유주지분 순이익을 쓴다</t>
        </r>
        <r>
          <rPr>
            <sz val="10"/>
            <rFont val="Arial"/>
            <family val="2"/>
          </rPr>
          <t xml:space="preserve">(2-3 </t>
        </r>
        <r>
          <rPr>
            <sz val="10"/>
            <rFont val="Noto Sans CJK SC"/>
            <family val="2"/>
          </rPr>
          <t xml:space="preserve">시트 </t>
        </r>
        <r>
          <rPr>
            <sz val="10"/>
            <rFont val="Arial"/>
            <family val="2"/>
          </rPr>
          <t>17</t>
        </r>
        <r>
          <rPr>
            <sz val="10"/>
            <rFont val="Noto Sans CJK SC"/>
            <family val="2"/>
          </rPr>
          <t xml:space="preserve">행 </t>
        </r>
        <r>
          <rPr>
            <sz val="10"/>
            <rFont val="Arial"/>
            <family val="2"/>
          </rPr>
          <t>ROE</t>
        </r>
        <r>
          <rPr>
            <sz val="10"/>
            <rFont val="Noto Sans CJK SC"/>
            <family val="2"/>
          </rPr>
          <t>와 같은 주체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>비지배지분 순이익은 자회사 소수주주의 몫</t>
        </r>
        <r>
          <rPr>
            <sz val="10"/>
            <rFont val="Arial"/>
            <family val="2"/>
          </rPr>
          <t xml:space="preserve">[Ch11 </t>
        </r>
        <r>
          <rPr>
            <sz val="10"/>
            <rFont val="Noto Sans CJK SC"/>
            <family val="2"/>
          </rPr>
          <t xml:space="preserve">슬라이드 </t>
        </r>
        <r>
          <rPr>
            <sz val="10"/>
            <rFont val="Arial"/>
            <family val="2"/>
          </rPr>
          <t xml:space="preserve">5 </t>
        </r>
        <r>
          <rPr>
            <sz val="10"/>
            <rFont val="Noto Sans CJK SC"/>
            <family val="2"/>
          </rPr>
          <t>노트</t>
        </r>
        <r>
          <rPr>
            <sz val="10"/>
            <rFont val="Arial"/>
            <family val="2"/>
          </rPr>
          <t>].</t>
        </r>
      </text>
    </comment>
  </commentList>
</comments>
</file>

<file path=xl/sharedStrings.xml><?xml version="1.0" encoding="utf-8"?>
<sst xmlns="http://schemas.openxmlformats.org/spreadsheetml/2006/main" count="586" uniqueCount="449">
  <si>
    <t>■ 셀 색상 규칙</t>
  </si>
  <si>
    <t>표시</t>
  </si>
  <si>
    <t>의미</t>
  </si>
  <si>
    <t>파란색 글씨 + 노란색 배경</t>
  </si>
  <si>
    <t>여러분이 직접 입력·조사해서 채우는 칸입니다.</t>
  </si>
  <si>
    <t>파란색 글씨 + 연주황 배경</t>
  </si>
  <si>
    <t>여러분이 세우는 '가정' 값입니다. 이 칸을 바꾸면 결과가 함께 움직여야 합니다.</t>
  </si>
  <si>
    <t>파란색 글씨 + 회색 배경</t>
  </si>
  <si>
    <t>작성 형식을 보여주는 예시 또는 주어진 자료입니다. 고치지 마세요.</t>
  </si>
  <si>
    <t>검정색 글씨</t>
  </si>
  <si>
    <t>수식이 들어갈 칸입니다. 값을 직접 타이핑하면 안 됩니다.</t>
  </si>
  <si>
    <t>빨간색 글씨</t>
  </si>
  <si>
    <t>검증용 칸입니다. 'OK'가 뜨는지 반드시 확인하세요.</t>
  </si>
  <si>
    <t>■ 시트 구성 및 진행 순서</t>
  </si>
  <si>
    <t>시트</t>
  </si>
  <si>
    <t>할 일</t>
  </si>
  <si>
    <t>3-1_손익계산서</t>
  </si>
  <si>
    <t>제출체크리스트</t>
  </si>
  <si>
    <t>제출 전 빠진 항목이 없는지 장별로 점검합니다.</t>
  </si>
  <si>
    <t>■ 유의사항</t>
  </si>
  <si>
    <t>•</t>
  </si>
  <si>
    <t>금액 단위는 백만원, 주가는 원, 주식수는 천주(2-3 시트)로 통일합니다. 사업보고서·DataGuide 원문 단위(원, 천원)와 다를 수 있으니 옮겨 적을 때 반드시 확인하세요.</t>
  </si>
  <si>
    <t>숫자를 손으로 계산해서 적지 마세요. 2-3·2-4 시트는 2-1 시트의 값에 수식으로 연결되어 있어, 원자료를 고치면 결과가 함께 바뀝니다.</t>
  </si>
  <si>
    <t>출처(사업보고서 페이지, URL, 조회일자)를 각 표의 '출처' 칸에 남겨두면 기말 보고서를 쓸 때 다시 찾는 수고를 덜 수 있습니다.</t>
  </si>
  <si>
    <t>시트 곳곳의 셀 메모(빨간 삼각형)에는 해당 개념이 강의노트 어느 장·어느 슬라이드에 나오는지 적어 두었습니다. "지금 이걸 왜 하는가"가 궁금하면 2-0 시트와 메모를 먼저 보세요.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</si>
  <si>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①</t>
    </r>
    <r>
      <rPr>
        <b/>
        <sz val="16"/>
        <color rgb="FF1F3864"/>
        <rFont val="맑은 고딕"/>
        <family val="3"/>
        <charset val="129"/>
      </rPr>
      <t xml:space="preserve">] </t>
    </r>
    <r>
      <rPr>
        <b/>
        <sz val="16"/>
        <color rgb="FF1F3864"/>
        <rFont val="Noto Sans CJK SC"/>
        <family val="2"/>
      </rPr>
      <t xml:space="preserve">분석 대상기업 </t>
    </r>
    <r>
      <rPr>
        <b/>
        <sz val="16"/>
        <color rgb="FF1F3864"/>
        <rFont val="맑은 고딕"/>
        <family val="3"/>
        <charset val="129"/>
      </rPr>
      <t xml:space="preserve">· </t>
    </r>
    <r>
      <rPr>
        <b/>
        <sz val="16"/>
        <color rgb="FF1F3864"/>
        <rFont val="Noto Sans CJK SC"/>
        <family val="2"/>
      </rPr>
      <t>비교기업 선정</t>
    </r>
  </si>
  <si>
    <r>
      <rPr>
        <sz val="9"/>
        <color rgb="FF808080"/>
        <rFont val="맑은 고딕"/>
        <family val="3"/>
        <charset val="129"/>
      </rPr>
      <t xml:space="preserve">DART(dart.fss.or.kr) </t>
    </r>
    <r>
      <rPr>
        <sz val="9"/>
        <color rgb="FF808080"/>
        <rFont val="Noto Sans CJK SC"/>
        <family val="2"/>
      </rPr>
      <t xml:space="preserve">최근연도 사업보고서 → </t>
    </r>
    <r>
      <rPr>
        <sz val="9"/>
        <color rgb="FF808080"/>
        <rFont val="맑은 고딕"/>
        <family val="3"/>
        <charset val="129"/>
      </rPr>
      <t xml:space="preserve">'II. </t>
    </r>
    <r>
      <rPr>
        <sz val="9"/>
        <color rgb="FF808080"/>
        <rFont val="Noto Sans CJK SC"/>
        <family val="2"/>
      </rPr>
      <t>사업의 개요</t>
    </r>
    <r>
      <rPr>
        <sz val="9"/>
        <color rgb="FF808080"/>
        <rFont val="맑은 고딕"/>
        <family val="3"/>
        <charset val="129"/>
      </rPr>
      <t>'</t>
    </r>
    <r>
      <rPr>
        <sz val="9"/>
        <color rgb="FF808080"/>
        <rFont val="Noto Sans CJK SC"/>
        <family val="2"/>
      </rPr>
      <t>를 먼저 읽고 작성하세요</t>
    </r>
    <r>
      <rPr>
        <sz val="9"/>
        <color rgb="FF808080"/>
        <rFont val="맑은 고딕"/>
        <family val="3"/>
        <charset val="129"/>
      </rPr>
      <t>.</t>
    </r>
  </si>
  <si>
    <t>항목</t>
  </si>
  <si>
    <t>대상기업</t>
  </si>
  <si>
    <t>비교기업</t>
  </si>
  <si>
    <t>확인 방법 / 메모</t>
  </si>
  <si>
    <t>기업명</t>
  </si>
  <si>
    <t>사업보고서 표지</t>
  </si>
  <si>
    <t>종목코드</t>
  </si>
  <si>
    <t>상장시장</t>
  </si>
  <si>
    <t>KOSPI</t>
  </si>
  <si>
    <t>KOSPI / KOSDAQ / KONEX</t>
  </si>
  <si>
    <t>상장일</t>
  </si>
  <si>
    <t>회사 개요 또는 KRX</t>
  </si>
  <si>
    <t>업종 (표준산업분류)</t>
  </si>
  <si>
    <t>사업보고서 'I. 회사의 개요'</t>
  </si>
  <si>
    <t>주요 제품·서비스</t>
  </si>
  <si>
    <t>최근 사업연도</t>
  </si>
  <si>
    <t>예: 2025</t>
  </si>
  <si>
    <t>시가총액 (백만원)</t>
  </si>
  <si>
    <t>조회일 기준(stock.naver.com, DataGuide)</t>
  </si>
  <si>
    <t>발행주식수 (주)</t>
  </si>
  <si>
    <t>보통주 기준, 자기주식 제외 여부 표시</t>
  </si>
  <si>
    <t>최근 종가 (원)</t>
  </si>
  <si>
    <t>조회일자 함께 기록</t>
  </si>
  <si>
    <t>최대주주 및 지분율</t>
  </si>
  <si>
    <t>대표이사</t>
  </si>
  <si>
    <t>외부감사인</t>
  </si>
  <si>
    <t>감사의견</t>
  </si>
  <si>
    <t>적정 / 한정 / 부적정 / 의견거절</t>
  </si>
  <si>
    <t>사업보고서 URL</t>
  </si>
  <si>
    <t>자료 조회일자</t>
  </si>
  <si>
    <t>YYYY-MM-DD</t>
  </si>
  <si>
    <t>작성 예시 (참고용)</t>
  </si>
  <si>
    <t>삼성생명</t>
  </si>
  <si>
    <t>한화생명</t>
  </si>
  <si>
    <t>032830</t>
  </si>
  <si>
    <t>088350</t>
  </si>
  <si>
    <t>보험업 (K65)</t>
  </si>
  <si>
    <t>16,800,000</t>
  </si>
  <si>
    <t>2,700,000</t>
  </si>
  <si>
    <t>※ 위 예시는 형식 안내용 숫자이며 실제 공시치가 아닙니다. 강의노트 1장의 삼성생명 사례에서 착안한 예시입니다.</t>
  </si>
  <si>
    <t>비교기업 선정 사유 (3~5줄)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</si>
  <si>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②</t>
    </r>
    <r>
      <rPr>
        <b/>
        <sz val="16"/>
        <color rgb="FF1F3864"/>
        <rFont val="맑은 고딕"/>
        <family val="3"/>
        <charset val="129"/>
      </rPr>
      <t xml:space="preserve">] Chapter Report </t>
    </r>
    <r>
      <rPr>
        <b/>
        <sz val="16"/>
        <color rgb="FF1F3864"/>
        <rFont val="Noto Sans CJK SC"/>
        <family val="2"/>
      </rPr>
      <t>작성용 기업개요 비교</t>
    </r>
  </si>
  <si>
    <t>본 장의 과제는 2장 분량의 Chapter Report입니다. 아래 항목이 보고서 목차가 됩니다. 여러분은 증권사 애널리스트입니다.</t>
  </si>
  <si>
    <t>보고서 항목</t>
  </si>
  <si>
    <t>산업 개요 및 시장규모</t>
  </si>
  <si>
    <t>산업 내 경쟁현황 (주요 경쟁사·점유율)</t>
  </si>
  <si>
    <t>주요 제조상품 / 서비스</t>
  </si>
  <si>
    <t>매출 구성 (제품별·지역별 비중)</t>
  </si>
  <si>
    <t>기업지배구조 (지분구조·이사회)</t>
  </si>
  <si>
    <t>경영자 (대표이사 이력·경영전략)</t>
  </si>
  <si>
    <t>회계감사인 및 감사의견</t>
  </si>
  <si>
    <t>최근 3년 주요 이슈 (M&amp;A, 소송, 규제 등)</t>
  </si>
  <si>
    <t>투자포인트 (강점)</t>
  </si>
  <si>
    <t>투자위험 (약점·리스크)</t>
  </si>
  <si>
    <t>출처 기록</t>
  </si>
  <si>
    <t>구분</t>
  </si>
  <si>
    <t>출처 (문서명 · 페이지 · URL)</t>
  </si>
  <si>
    <t>조회일자</t>
  </si>
  <si>
    <t>대상기업 사업보고서</t>
  </si>
  <si>
    <t>비교기업 사업보고서</t>
  </si>
  <si>
    <t>산업 통계·협회 자료</t>
  </si>
  <si>
    <t>증권사 리포트</t>
  </si>
  <si>
    <t>기타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</si>
  <si>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③</t>
    </r>
    <r>
      <rPr>
        <b/>
        <sz val="16"/>
        <color rgb="FF1F3864"/>
        <rFont val="맑은 고딕"/>
        <family val="3"/>
        <charset val="129"/>
      </rPr>
      <t xml:space="preserve">] </t>
    </r>
    <r>
      <rPr>
        <b/>
        <sz val="16"/>
        <color rgb="FF1F3864"/>
        <rFont val="Noto Sans CJK SC"/>
        <family val="2"/>
      </rPr>
      <t>월별 주가 변동추이와 시장대표지수</t>
    </r>
    <r>
      <rPr>
        <b/>
        <sz val="16"/>
        <color rgb="FF1F3864"/>
        <rFont val="맑은 고딕"/>
        <family val="3"/>
        <charset val="129"/>
      </rPr>
      <t xml:space="preserve">(KOSPI) </t>
    </r>
    <r>
      <rPr>
        <b/>
        <sz val="16"/>
        <color rgb="FF1F3864"/>
        <rFont val="Noto Sans CJK SC"/>
        <family val="2"/>
      </rPr>
      <t xml:space="preserve">비교 </t>
    </r>
    <r>
      <rPr>
        <b/>
        <sz val="16"/>
        <color rgb="FF1F3864"/>
        <rFont val="맑은 고딕"/>
        <family val="3"/>
        <charset val="129"/>
      </rPr>
      <t>(60</t>
    </r>
    <r>
      <rPr>
        <b/>
        <sz val="16"/>
        <color rgb="FF1F3864"/>
        <rFont val="Noto Sans CJK SC"/>
        <family val="2"/>
      </rPr>
      <t>개월</t>
    </r>
    <r>
      <rPr>
        <b/>
        <sz val="16"/>
        <color rgb="FF1F3864"/>
        <rFont val="맑은 고딕"/>
        <family val="3"/>
        <charset val="129"/>
      </rPr>
      <t>)</t>
    </r>
  </si>
  <si>
    <t>월말 종가 기준, 배당 미고려. 연도별(결산일) 주가와 PBR은 2-4 시트에서 다루므로 이 시트는 월별 흐름과 시장 대비 성과에 집중합니다.</t>
  </si>
  <si>
    <t>작성 예시 (형식 참고용 · 지우지 마세요)</t>
  </si>
  <si>
    <t>연월</t>
  </si>
  <si>
    <t>대상기업
종가(원)</t>
  </si>
  <si>
    <t>비교기업
종가(원)</t>
  </si>
  <si>
    <t>대상
월수익률</t>
  </si>
  <si>
    <t>비교
월수익률</t>
  </si>
  <si>
    <r>
      <rPr>
        <b/>
        <sz val="10"/>
        <color rgb="FFFFFFFF"/>
        <rFont val="맑은 고딕"/>
        <family val="3"/>
        <charset val="129"/>
      </rPr>
      <t xml:space="preserve">KOSPI
</t>
    </r>
    <r>
      <rPr>
        <b/>
        <sz val="10"/>
        <color rgb="FFFFFFFF"/>
        <rFont val="Noto Sans CJK SC"/>
        <family val="2"/>
      </rPr>
      <t>월수익률</t>
    </r>
  </si>
  <si>
    <t>2020-10</t>
  </si>
  <si>
    <t>-</t>
  </si>
  <si>
    <t>2020-11</t>
  </si>
  <si>
    <t>2020-12</t>
  </si>
  <si>
    <t>※ 월수익률 = 당월 종가 ÷ 전월 종가 − 1. 첫 행은 전월 자료가 없으므로 비워 둡니다.</t>
  </si>
  <si>
    <t>■ 실습표 : 최근 5년(60개월) 월별 자료</t>
  </si>
  <si>
    <t>대상
지수(100)</t>
  </si>
  <si>
    <t>비교
지수(100)</t>
  </si>
  <si>
    <r>
      <rPr>
        <b/>
        <sz val="10"/>
        <color rgb="FFFFFFFF"/>
        <rFont val="맑은 고딕"/>
        <family val="3"/>
        <charset val="129"/>
      </rPr>
      <t xml:space="preserve">KOSPI
</t>
    </r>
    <r>
      <rPr>
        <b/>
        <sz val="10"/>
        <color rgb="FFFFFFFF"/>
        <rFont val="Noto Sans CJK SC"/>
        <family val="2"/>
      </rPr>
      <t>지수</t>
    </r>
    <r>
      <rPr>
        <b/>
        <sz val="10"/>
        <color rgb="FFFFFFFF"/>
        <rFont val="맑은 고딕"/>
        <family val="3"/>
        <charset val="129"/>
      </rPr>
      <t>(100)</t>
    </r>
  </si>
  <si>
    <t>↑ 회색 아닌 흰 칸(월수익률·지수)은 비어 있습니다. 첫 3행의 수식을 확인한 뒤 60행까지 복사해 채우세요.</t>
  </si>
  <si>
    <t>2021-01</t>
  </si>
  <si>
    <t>2021-02</t>
  </si>
  <si>
    <t>지수(100) = 전월 지수 × (1 + 당월 수익률). 시작 시점을 100으로 맞춰야 세 계열을 같은 출발선에서 비교할 수 있습니다.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</si>
  <si>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</si>
  <si>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</si>
  <si>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</si>
  <si>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</si>
  <si>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</si>
  <si>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</si>
  <si>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</si>
  <si>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</si>
  <si>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</si>
  <si>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</si>
  <si>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</si>
  <si>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</si>
  <si>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</si>
  <si>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</si>
  <si>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</si>
  <si>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</si>
  <si>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</si>
  <si>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</si>
  <si>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</si>
  <si>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</si>
  <si>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</si>
  <si>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</si>
  <si>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</si>
  <si>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</si>
  <si>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</si>
  <si>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</si>
  <si>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</si>
  <si>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</si>
  <si>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</si>
  <si>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</si>
  <si>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</si>
  <si>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</si>
  <si>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</si>
  <si>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</si>
  <si>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</si>
  <si>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</si>
  <si>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</si>
  <si>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</si>
  <si>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</si>
  <si>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</si>
  <si>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</si>
  <si>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</si>
  <si>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</si>
  <si>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</si>
  <si>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</si>
  <si>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</si>
  <si>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</si>
  <si>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</si>
  <si>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</si>
  <si>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</si>
  <si>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</si>
  <si>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</si>
  <si>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</si>
  <si>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</si>
  <si>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</si>
  <si>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</si>
  <si>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</si>
  <si>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</si>
  <si>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해석 (5줄 내외) : 대상기업 주가는 시장 대비 어떠했는가? 그 원인은?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</si>
  <si>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⑤</t>
    </r>
    <r>
      <rPr>
        <b/>
        <sz val="16"/>
        <color rgb="FF1F3864"/>
        <rFont val="맑은 고딕"/>
        <family val="3"/>
        <charset val="129"/>
      </rPr>
      <t xml:space="preserve">] </t>
    </r>
    <r>
      <rPr>
        <b/>
        <sz val="16"/>
        <color rgb="FF1F3864"/>
        <rFont val="Noto Sans CJK SC"/>
        <family val="2"/>
      </rPr>
      <t xml:space="preserve">증권사 애널리스트 보고서 </t>
    </r>
    <r>
      <rPr>
        <b/>
        <sz val="16"/>
        <color rgb="FF1F3864"/>
        <rFont val="맑은 고딕"/>
        <family val="3"/>
        <charset val="129"/>
      </rPr>
      <t xml:space="preserve">vs </t>
    </r>
    <r>
      <rPr>
        <b/>
        <sz val="16"/>
        <color rgb="FF1F3864"/>
        <rFont val="Noto Sans CJK SC"/>
        <family val="2"/>
      </rPr>
      <t>신용평가기관 보고서</t>
    </r>
  </si>
  <si>
    <t>한국신용평가 www.kisrating.com · 증권사 리포트는 각 사 홈페이지 또는 네이버 증권 리서치</t>
  </si>
  <si>
    <t>비교 항목</t>
  </si>
  <si>
    <t>증권사 애널리스트 보고서</t>
  </si>
  <si>
    <t>신용평가기관 보고서</t>
  </si>
  <si>
    <t>보고서 제목 · 발행기관 · 발행일</t>
  </si>
  <si>
    <t>주된 이용자 (누구를 위해 쓰였는가)</t>
  </si>
  <si>
    <t>분석의 초점 (수익성 / 상환능력)</t>
  </si>
  <si>
    <t>결론의 형태 (투자의견·목표주가 / 신용등급)</t>
  </si>
  <si>
    <t>예측 기간</t>
  </si>
  <si>
    <t>중점적으로 본 재무지표</t>
  </si>
  <si>
    <t>비재무정보 활용 정도</t>
  </si>
  <si>
    <t>낙관/보수 정도에 대한 인상</t>
  </si>
  <si>
    <t>왜 두 보고서의 결론이 다른가? (10줄 내외)</t>
  </si>
  <si>
    <t>애널리스트 보고서 첨부 · 요약</t>
  </si>
  <si>
    <t>신용평가 보고서 첨부 · 요약</t>
  </si>
  <si>
    <t>■ 이 과목의 한 줄 공식</t>
  </si>
  <si>
    <t>가치 V₀ = Σ CFₜ ÷ (1 + r)ᵗ  — 2장에서 처음 등장[Ch02 슬라이드 8]하고, 7장이 분모 r(할인율)을, 10장이 분자 CF(예측)를 만들며, 11장에서 둘을 결합합니다[Ch11 슬라이드 21]. 재무상태표는 이 공식의 출발점입니다: "재무상태표를 보고 가치를 평가하는 것은 기업가치평가의 출발점"[Ch02 슬라이드 7].</t>
  </si>
  <si>
    <t>■ 시트별 로드맵: 지금 하는 일 → 나중에 쓰이는 곳 → 실무에서는</t>
  </si>
  <si>
    <t>나중에 어디에 쓰이는가 (장·슬라이드)</t>
  </si>
  <si>
    <t>가치평가에서의 역할</t>
  </si>
  <si>
    <t>대상·비교기업을 고르고 사업·지배구조·감사인을 정리한다.</t>
  </si>
  <si>
    <t>비교기업이 부적절하면 이후 모든 횡단면 비교(ROE 격차, PBR 배수)가 회계 차이인지 사업 차이인지 구분할 수 없다.</t>
  </si>
  <si>
    <t>할인율 r의 원천. 미래에셋 보고서의 12M 베타 1.60은 이 방식으로 구한 값이다.</t>
  </si>
  <si>
    <t>애널리스트 보고서와 신용평가 보고서를 대조한다.</t>
  </si>
  <si>
    <t>공통형·시계열·횡단면[Ch02 슬라이드 20~22, Ch03 슬라이드 18] · 6장 ROE 분해의 분모(평균총자산·평균자기자본)와 회전율[Ch06 슬라이드 12, 17] · 7장 부채비율·유동비율[Ch07 슬라이드 14] · 10장 추정 재무상태표는 이 시트의 항목 비중과 회전율로 만든다[Ch10 슬라이드 12~13] · 11장 RIM의 Equity₀[Ch11 슬라이드 12]</t>
  </si>
  <si>
    <t>가치평가의 출발점(장부가치)이자 미래 재무상태표의 뼈대. 10장에서는 이 표를 "거꾸로" 만든다(회전율 → 자산).</t>
  </si>
  <si>
    <t>재무상태표에 없는 자산·부채(잠재적 자산·부채)와 구조 변화를 서술한다.</t>
  </si>
  <si>
    <t>후반부(7~11장) 파일의 초과이익모형에서 장부금액을 조정할 때 넣을 금액의 근거가 된다.</t>
  </si>
  <si>
    <t>결산일 종가·유통주식수·지배기업 소유주지분으로 6개년 PBR과 ROE.</t>
  </si>
  <si>
    <t>분자(시가총액)와 분모(장부가치)의 귀속 주체를 맞춘다: 지배지분 ↔ 유통주식수(자기주식 제외). 12월 말과 익년 3월 말 두 시점으로 계산해 공시 전후를 비교한다[Ch02 슬라이드 23 노트].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</si>
  <si>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①</t>
    </r>
    <r>
      <rPr>
        <b/>
        <sz val="16"/>
        <color rgb="FF1F3864"/>
        <rFont val="맑은 고딕"/>
        <family val="3"/>
        <charset val="129"/>
      </rPr>
      <t xml:space="preserve">] </t>
    </r>
    <r>
      <rPr>
        <b/>
        <sz val="16"/>
        <color rgb="FF1F3864"/>
        <rFont val="Noto Sans CJK SC"/>
        <family val="2"/>
      </rPr>
      <t>재무상태표 입력 및 공통형</t>
    </r>
    <r>
      <rPr>
        <b/>
        <sz val="16"/>
        <color rgb="FF1F3864"/>
        <rFont val="맑은 고딕"/>
        <family val="3"/>
        <charset val="129"/>
      </rPr>
      <t xml:space="preserve">(common-size) </t>
    </r>
    <r>
      <rPr>
        <b/>
        <sz val="16"/>
        <color rgb="FF1F3864"/>
        <rFont val="Noto Sans CJK SC"/>
        <family val="2"/>
      </rPr>
      <t>분석</t>
    </r>
  </si>
  <si>
    <t>단위: 백만원 · 연결재무제표 기준 · 대상기업을 앞에, 비교기업을 뒤에 입력합니다. 공통형 분석은 데이터의 오른쪽에 작성합니다.</t>
  </si>
  <si>
    <t>대상기업 (금액, 백만원)</t>
  </si>
  <si>
    <t>비교기업 (금액, 백만원)</t>
  </si>
  <si>
    <t>공통형 분석 — 대상기업 (자산총계 = 100%)</t>
  </si>
  <si>
    <t>공통형 분석 — 비교기업 (자산총계 = 100%)</t>
  </si>
  <si>
    <t>분석적 검토 — 대상기업 (전기 대비 증감율)</t>
  </si>
  <si>
    <t>분석적 검토 — 비교기업 (전기 대비 증감율)</t>
  </si>
  <si>
    <t>계정과목</t>
  </si>
  <si>
    <t>2020</t>
  </si>
  <si>
    <t>2021</t>
  </si>
  <si>
    <t>2022</t>
  </si>
  <si>
    <t>2023</t>
  </si>
  <si>
    <t>2024</t>
  </si>
  <si>
    <t>2025</t>
  </si>
  <si>
    <t>2020→2021</t>
  </si>
  <si>
    <t>2021→2022</t>
  </si>
  <si>
    <t>2022→2023</t>
  </si>
  <si>
    <t>2023→2024</t>
  </si>
  <si>
    <t>2024→2025</t>
  </si>
  <si>
    <t>자산총계 행 참조가 $로 고정되어 있으므로, 그 한 칸을 복사해 공통형 영역 전체에 붙여넣으면 됩니다.</t>
  </si>
  <si>
    <t>현금및현금성자산</t>
  </si>
  <si>
    <t>단기금융상품</t>
  </si>
  <si>
    <t>공통형 분석의 분모는 언제나 '자산총계'입니다. 부채·자본 항목도 자본총계가 아니라 자산총계로 나눕니다.</t>
  </si>
  <si>
    <t>매출채권</t>
  </si>
  <si>
    <t>재고자산</t>
  </si>
  <si>
    <t>입력 칸(노란색)은 6개년 모두 채워야 합니다. 해당 항목이 없는 회사면 0을 입력하세요. 빈칸이면 소계가 어긋납니다.</t>
  </si>
  <si>
    <t>기타유동자산</t>
  </si>
  <si>
    <t>유동자산 계</t>
  </si>
  <si>
    <t>분석적 검토는 전기 대비 증감율입니다. 매출·사업 규모의 변화에 견주어 특정 계정만 튀는지 확인하세요.</t>
  </si>
  <si>
    <t>장기금융상품</t>
  </si>
  <si>
    <t>관계기업투자</t>
  </si>
  <si>
    <t>유형자산</t>
  </si>
  <si>
    <t>대상기업과 비교기업이 같은 방향으로 움직였다면 산업·시장 요인, 대상기업만 움직였다면 기업 고유 요인일 가능성이 큽니다.</t>
  </si>
  <si>
    <t>무형자산</t>
  </si>
  <si>
    <t>기타비유동자산</t>
  </si>
  <si>
    <t>전기 값이 0이거나 비어 있으면 증감율을 계산하지 않고 공란으로 둡니다. 기타자본항목처럼 전기 값이 음수인 계정은 부호가 직관과 반대로 나오니 주의하세요.</t>
  </si>
  <si>
    <t>비유동자산 계</t>
  </si>
  <si>
    <t>자산총계</t>
  </si>
  <si>
    <t>매입채무</t>
  </si>
  <si>
    <t>단기차입금</t>
  </si>
  <si>
    <t>유동성장기부채</t>
  </si>
  <si>
    <t>기타유동부채</t>
  </si>
  <si>
    <t>유동부채 계</t>
  </si>
  <si>
    <t>사채</t>
  </si>
  <si>
    <t>장기차입금</t>
  </si>
  <si>
    <t>순확정급여부채</t>
  </si>
  <si>
    <t>기타비유동부채</t>
  </si>
  <si>
    <t>비유동부채 계</t>
  </si>
  <si>
    <t>부채총계</t>
  </si>
  <si>
    <t>자본금</t>
  </si>
  <si>
    <t>자본잉여금</t>
  </si>
  <si>
    <t>이익잉여금</t>
  </si>
  <si>
    <t>기타자본항목</t>
  </si>
  <si>
    <t>비지배지분</t>
  </si>
  <si>
    <t>자본총계</t>
  </si>
  <si>
    <t>부채와자본총계</t>
  </si>
  <si>
    <t>검증: 자산총계 = 부채와자본총계</t>
  </si>
  <si>
    <t>부채비율 (부채총계 ÷ 자본총계)</t>
  </si>
  <si>
    <t>자료 출처 (사업보고서명 · 페이지 · 조회일자)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</si>
  <si>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②</t>
    </r>
    <r>
      <rPr>
        <b/>
        <sz val="16"/>
        <color rgb="FF1F3864"/>
        <rFont val="맑은 고딕"/>
        <family val="3"/>
        <charset val="129"/>
      </rPr>
      <t xml:space="preserve">] Chapter Report — </t>
    </r>
    <r>
      <rPr>
        <b/>
        <sz val="16"/>
        <color rgb="FF1F3864"/>
        <rFont val="Noto Sans CJK SC"/>
        <family val="2"/>
      </rPr>
      <t>재무상태표 설명</t>
    </r>
  </si>
  <si>
    <r>
      <rPr>
        <sz val="9"/>
        <color rgb="FF808080"/>
        <rFont val="맑은 고딕"/>
        <family val="3"/>
        <charset val="129"/>
      </rPr>
      <t xml:space="preserve">2-1 </t>
    </r>
    <r>
      <rPr>
        <sz val="9"/>
        <color rgb="FF808080"/>
        <rFont val="Noto Sans CJK SC"/>
        <family val="2"/>
      </rPr>
      <t>시트의 공통형 분석 결과를 근거로 서술하세요</t>
    </r>
    <r>
      <rPr>
        <sz val="9"/>
        <color rgb="FF808080"/>
        <rFont val="맑은 고딕"/>
        <family val="3"/>
        <charset val="129"/>
      </rPr>
      <t>. '</t>
    </r>
    <r>
      <rPr>
        <sz val="9"/>
        <color rgb="FF808080"/>
        <rFont val="Noto Sans CJK SC"/>
        <family val="2"/>
      </rPr>
      <t>기업이 영위하는 사업을 충분히 이해한 후</t>
    </r>
    <r>
      <rPr>
        <sz val="9"/>
        <color rgb="FF808080"/>
        <rFont val="맑은 고딕"/>
        <family val="3"/>
        <charset val="129"/>
      </rPr>
      <t xml:space="preserve">' </t>
    </r>
    <r>
      <rPr>
        <sz val="9"/>
        <color rgb="FF808080"/>
        <rFont val="Noto Sans CJK SC"/>
        <family val="2"/>
      </rPr>
      <t>재무상태표를 읽는 것이 순서입니다</t>
    </r>
    <r>
      <rPr>
        <sz val="9"/>
        <color rgb="FF808080"/>
        <rFont val="맑은 고딕"/>
        <family val="3"/>
        <charset val="129"/>
      </rPr>
      <t>.</t>
    </r>
  </si>
  <si>
    <t>자산 구성의 특징</t>
  </si>
  <si>
    <t>기업이 영위하는 사업을 먼저 설명하고, 그 사업이 재무상태표의 어느 항목으로 나타나는지 연결하여 서술한다.</t>
  </si>
  <si>
    <t>자산 구성(유동/비유동, 유형자산 비중 등)의 특징과 연도별 변화를 공통형 분석 결과에 근거하여 설명한다.</t>
  </si>
  <si>
    <t>자금조달 구조 (부채 vs 자본)</t>
  </si>
  <si>
    <t>부채와 자본의 구성, 조달 방식의 특징을 설명한다.</t>
  </si>
  <si>
    <t>부채의 만기 구성</t>
  </si>
  <si>
    <t>주석에서 확인한 잠재적 부채(우발부채·지급보증·운용리스 등)와 저평가된 자산이 있는지 검토한다.</t>
  </si>
  <si>
    <t>비교기업과의 가장 큰 차이</t>
  </si>
  <si>
    <t>비교기업과 구성이 뚜렷하게 다른 항목을 찾아 그 이유를 설명한다.</t>
  </si>
  <si>
    <t>재무상태표에 없는 자산 (잠재적 자산)</t>
  </si>
  <si>
    <t>재무상태표에 없는 부채 (잠재적 부채)</t>
  </si>
  <si>
    <t>급격히 변동한 계정과 그 원인</t>
  </si>
  <si>
    <t>기업 고유 변동 vs 산업 공통 변동</t>
  </si>
  <si>
    <t>같은 계정을 비교기업과 대조한다. 두 기업이 함께 움직였으면 산업 요인, 대상기업만 움직였으면 기업 고유 요인으로 나누어 설명한다.</t>
  </si>
  <si>
    <r>
      <rPr>
        <b/>
        <sz val="16"/>
        <color rgb="FF1F3864"/>
        <rFont val="맑은 고딕"/>
        <family val="3"/>
        <charset val="129"/>
      </rPr>
      <t>[</t>
    </r>
    <r>
      <rPr>
        <b/>
        <sz val="16"/>
        <color rgb="FF1F3864"/>
        <rFont val="Noto Sans CJK SC"/>
        <family val="2"/>
      </rPr>
      <t>과제 ⑥</t>
    </r>
    <r>
      <rPr>
        <b/>
        <sz val="16"/>
        <color rgb="FF1F3864"/>
        <rFont val="맑은 고딕"/>
        <family val="3"/>
        <charset val="129"/>
      </rPr>
      <t xml:space="preserve">] </t>
    </r>
    <r>
      <rPr>
        <b/>
        <sz val="16"/>
        <color rgb="FF1F3864"/>
        <rFont val="Noto Sans CJK SC"/>
        <family val="2"/>
      </rPr>
      <t>대상기업</t>
    </r>
    <r>
      <rPr>
        <b/>
        <sz val="16"/>
        <color rgb="FF1F3864"/>
        <rFont val="맑은 고딕"/>
        <family val="3"/>
        <charset val="129"/>
      </rPr>
      <t>·</t>
    </r>
    <r>
      <rPr>
        <b/>
        <sz val="16"/>
        <color rgb="FF1F3864"/>
        <rFont val="Noto Sans CJK SC"/>
        <family val="2"/>
      </rPr>
      <t xml:space="preserve">비교기업 </t>
    </r>
    <r>
      <rPr>
        <b/>
        <sz val="16"/>
        <color rgb="FF1F3864"/>
        <rFont val="맑은 고딕"/>
        <family val="3"/>
        <charset val="129"/>
      </rPr>
      <t xml:space="preserve">PBR </t>
    </r>
    <r>
      <rPr>
        <b/>
        <sz val="16"/>
        <color rgb="FF1F3864"/>
        <rFont val="Noto Sans CJK SC"/>
        <family val="2"/>
      </rPr>
      <t>추이 비교</t>
    </r>
  </si>
  <si>
    <t>단위: 자본 백만원 · 주가 원 · 주식수 천주 · 자본총계와 비지배지분은 2-1 시트에서 자동으로 연결됩니다. 노란 칸(주식수·주가)만 채우면 됩니다.</t>
  </si>
  <si>
    <t>■ 자료 입력과 PBR 계산</t>
  </si>
  <si>
    <t>자본총계 (2-1 시트 연결)</t>
  </si>
  <si>
    <t>비지배지분을 빼는 이유: PBR의 분자인 시가총액은 지배기업 주주의 몫이므로, 분모도 지배기업 소유주지분으로 맞춰야 짝이 맞습니다.</t>
  </si>
  <si>
    <t>비지배지분 (2-1 시트 연결)</t>
  </si>
  <si>
    <t>지배기업 소유주지분 (= 자본총계 − 비지배지분)</t>
  </si>
  <si>
    <t>기말 발행주식수 (천주)</t>
  </si>
  <si>
    <t>발행주식수·자기주식수는 사업보고서 "주식의 총수 등" 항목, 12월 말 종가는 KRX·네이버금융 등에서 조회합니다. 출처를 맨 아래 칸에 남기세요.</t>
  </si>
  <si>
    <t>기말 자기주식수 (천주)</t>
  </si>
  <si>
    <t>유통주식수 (천주) (= 발행 − 자기주식)</t>
  </si>
  <si>
    <t>시가총액 (백만원) (= 종가 × 유통주식수 ÷ 1,000)</t>
  </si>
  <si>
    <t>주당순자산 BPS (원) (= 지배지분 × 1,000 ÷ 유통주식수)</t>
  </si>
  <si>
    <t>단위 환산: 지배지분(백만원)×1,000,000 ÷ (유통주식수(천주)×1,000) = 지배지분×1,000 ÷ 유통주식수(천주).</t>
  </si>
  <si>
    <t>자기자본이익률 ROE (= 지배주주순이익(3-1) ÷ 평균 지배기업 소유주지분, 2021~ 수식)</t>
  </si>
  <si>
    <t>검증: 2-1 시트 자본총계 입력 여부</t>
  </si>
  <si>
    <t>연도</t>
  </si>
  <si>
    <t>대상기업 PBR</t>
  </si>
  <si>
    <t>비교기업 PBR</t>
  </si>
  <si>
    <t>차이
(대상 − 비교)</t>
  </si>
  <si>
    <t>상대 PBR
(대상 ÷ 비교)</t>
  </si>
  <si>
    <t>대상기업
시총 − 지배지분
(백만원)</t>
  </si>
  <si>
    <t>비교기업
시총 − 지배지분
(백만원)</t>
  </si>
  <si>
    <t>양(+)이면 장부에 없는 자산·미래 초과이익을, 음(−)이면 장부에 없는 부채나 장부가치의 과대계상을 시장이 보고 있다는 뜻입니다.</t>
  </si>
  <si>
    <t>차트는 아래에 자동으로 그려집니다. 데이터를 입력하면 선이 나타납니다.</t>
  </si>
  <si>
    <t>최대</t>
  </si>
  <si>
    <t>최소</t>
  </si>
  <si>
    <t>■ 해석 (Chapter Report에 옮겨 적을 내용)</t>
  </si>
  <si>
    <t>자료 출처 (주가·주식수 조회처 · 조회일자)</t>
  </si>
  <si>
    <r>
      <rPr>
        <b/>
        <sz val="16"/>
        <color rgb="FF1F3864"/>
        <rFont val="맑은 고딕"/>
        <family val="3"/>
        <charset val="129"/>
      </rPr>
      <t>[3</t>
    </r>
    <r>
      <rPr>
        <b/>
        <sz val="16"/>
        <color rgb="FF1F3864"/>
        <rFont val="Noto Sans CJK SC"/>
        <family val="2"/>
      </rPr>
      <t>장 과제 ①</t>
    </r>
    <r>
      <rPr>
        <b/>
        <sz val="16"/>
        <color rgb="FF1F3864"/>
        <rFont val="맑은 고딕"/>
        <family val="3"/>
        <charset val="129"/>
      </rPr>
      <t xml:space="preserve">] </t>
    </r>
    <r>
      <rPr>
        <b/>
        <sz val="16"/>
        <color rgb="FF1F3864"/>
        <rFont val="Noto Sans CJK SC"/>
        <family val="2"/>
      </rPr>
      <t xml:space="preserve">손익계산서 입력과 공통형 분석 </t>
    </r>
    <r>
      <rPr>
        <b/>
        <sz val="16"/>
        <color rgb="FF1F3864"/>
        <rFont val="맑은 고딕"/>
        <family val="3"/>
        <charset val="129"/>
      </rPr>
      <t>(6</t>
    </r>
    <r>
      <rPr>
        <b/>
        <sz val="16"/>
        <color rgb="FF1F3864"/>
        <rFont val="Noto Sans CJK SC"/>
        <family val="2"/>
      </rPr>
      <t>개년</t>
    </r>
    <r>
      <rPr>
        <b/>
        <sz val="16"/>
        <color rgb="FF1F3864"/>
        <rFont val="맑은 고딕"/>
        <family val="3"/>
        <charset val="129"/>
      </rPr>
      <t xml:space="preserve">, </t>
    </r>
    <r>
      <rPr>
        <b/>
        <sz val="16"/>
        <color rgb="FF1F3864"/>
        <rFont val="Noto Sans CJK SC"/>
        <family val="2"/>
      </rPr>
      <t>연결</t>
    </r>
    <r>
      <rPr>
        <b/>
        <sz val="16"/>
        <color rgb="FF1F3864"/>
        <rFont val="맑은 고딕"/>
        <family val="3"/>
        <charset val="129"/>
      </rPr>
      <t>)</t>
    </r>
  </si>
  <si>
    <t>공통형 (매출액 = 100%)</t>
  </si>
  <si>
    <t>항목 (연결손익계산서)</t>
  </si>
  <si>
    <t>매출액</t>
  </si>
  <si>
    <t>매출원가</t>
  </si>
  <si>
    <t>매출총이익 (= 매출액 − 매출원가)</t>
  </si>
  <si>
    <t>매출총이익</t>
  </si>
  <si>
    <t>판매비와관리비</t>
  </si>
  <si>
    <t>영업이익 (= 매출총이익 − 판관비)</t>
  </si>
  <si>
    <t>영업이익</t>
  </si>
  <si>
    <t>금융수익</t>
  </si>
  <si>
    <t>금융비용</t>
  </si>
  <si>
    <t>기타영업외손익 순액 (지분법·기타수익−기타비용, = 세전이익 − 영업이익 − 금융수익 + 금융비용)</t>
  </si>
  <si>
    <t>기타영업외손익 순액</t>
  </si>
  <si>
    <t>법인세비용차감전순이익</t>
  </si>
  <si>
    <t>법인세비용 (= 세전이익 − 당기순이익)</t>
  </si>
  <si>
    <t>법인세비용</t>
  </si>
  <si>
    <t>당기순이익</t>
  </si>
  <si>
    <t xml:space="preserve">  지배기업 소유주지분 순이익</t>
  </si>
  <si>
    <t>지배기업 소유주지분 순이익</t>
  </si>
  <si>
    <t xml:space="preserve">  비지배지분 순이익 (= 당기순이익 − 지배주주순이익)</t>
  </si>
  <si>
    <t>비지배지분 순이익</t>
  </si>
  <si>
    <t>기본주당이익 EPS (원, 보통주)</t>
  </si>
  <si>
    <t>검증: 계산 영업이익 = 사업보고서 영업이익</t>
  </si>
  <si>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참고</t>
    </r>
    <r>
      <rPr>
        <sz val="10"/>
        <color rgb="FF000000"/>
        <rFont val="맑은 고딕"/>
        <family val="3"/>
        <charset val="129"/>
      </rPr>
      <t xml:space="preserve">) R&amp;D ÷ </t>
    </r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 xml:space="preserve">광고비 </t>
    </r>
    <r>
      <rPr>
        <sz val="10"/>
        <color rgb="FF000000"/>
        <rFont val="맑은 고딕"/>
        <family val="3"/>
        <charset val="129"/>
      </rPr>
      <t xml:space="preserve">÷ </t>
    </r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 xml:space="preserve">감가상각비 </t>
    </r>
    <r>
      <rPr>
        <sz val="10"/>
        <color rgb="FF000000"/>
        <rFont val="맑은 고딕"/>
        <family val="3"/>
        <charset val="129"/>
      </rPr>
      <t xml:space="preserve">÷ </t>
    </r>
    <r>
      <rPr>
        <sz val="10"/>
        <color rgb="FF000000"/>
        <rFont val="Noto Sans CJK SC"/>
        <family val="2"/>
      </rPr>
      <t xml:space="preserve">매출액은 </t>
    </r>
    <r>
      <rPr>
        <sz val="10"/>
        <color rgb="FF000000"/>
        <rFont val="맑은 고딕"/>
        <family val="3"/>
        <charset val="129"/>
      </rPr>
      <t xml:space="preserve">3-2 </t>
    </r>
    <r>
      <rPr>
        <sz val="10"/>
        <color rgb="FF000000"/>
        <rFont val="Noto Sans CJK SC"/>
        <family val="2"/>
      </rPr>
      <t>시트에서</t>
    </r>
  </si>
  <si>
    <t>■ 전년 대비 증감율 (시계열 분석적 검토) — 30% 이상 변동은 빨간색으로 표시하고 원인을 주석에서 찾으세요 [Ch03 슬라이드 18]</t>
  </si>
  <si>
    <t>기본주당이익 EPS</t>
  </si>
  <si>
    <t>제출 전 체크리스트</t>
  </si>
  <si>
    <t>완료한 항목의 '완료' 칸에 O를 입력하세요.</t>
  </si>
  <si>
    <t>점검 항목</t>
  </si>
  <si>
    <t>완료</t>
  </si>
  <si>
    <r>
      <rPr>
        <sz val="11"/>
        <color theme="1"/>
        <rFont val="맑은 고딕"/>
        <family val="2"/>
        <charset val="1"/>
      </rPr>
      <t>1</t>
    </r>
    <r>
      <rPr>
        <sz val="11"/>
        <color theme="1"/>
        <rFont val="Noto Sans CJK SC"/>
        <family val="2"/>
      </rPr>
      <t>장 과제①</t>
    </r>
  </si>
  <si>
    <t>대상기업·비교기업을 정하고 사업보고서를 내려받았다 (최소 5년치 공시 확인)</t>
  </si>
  <si>
    <r>
      <rPr>
        <sz val="11"/>
        <color theme="1"/>
        <rFont val="맑은 고딕"/>
        <family val="2"/>
        <charset val="1"/>
      </rPr>
      <t>1</t>
    </r>
    <r>
      <rPr>
        <sz val="11"/>
        <color theme="1"/>
        <rFont val="Noto Sans CJK SC"/>
        <family val="2"/>
      </rPr>
      <t>장 과제②</t>
    </r>
  </si>
  <si>
    <r>
      <rPr>
        <sz val="11"/>
        <color theme="1"/>
        <rFont val="맑은 고딕"/>
        <family val="2"/>
        <charset val="1"/>
      </rPr>
      <t xml:space="preserve">'II. </t>
    </r>
    <r>
      <rPr>
        <sz val="11"/>
        <color theme="1"/>
        <rFont val="Noto Sans CJK SC"/>
        <family val="2"/>
      </rPr>
      <t>사업의 개요</t>
    </r>
    <r>
      <rPr>
        <sz val="11"/>
        <color theme="1"/>
        <rFont val="맑은 고딕"/>
        <family val="2"/>
        <charset val="1"/>
      </rPr>
      <t>'</t>
    </r>
    <r>
      <rPr>
        <sz val="11"/>
        <color theme="1"/>
        <rFont val="Noto Sans CJK SC"/>
        <family val="2"/>
      </rPr>
      <t xml:space="preserve">를 읽고 </t>
    </r>
    <r>
      <rPr>
        <sz val="11"/>
        <color theme="1"/>
        <rFont val="맑은 고딕"/>
        <family val="2"/>
        <charset val="1"/>
      </rPr>
      <t xml:space="preserve">1-1·1-2 </t>
    </r>
    <r>
      <rPr>
        <sz val="11"/>
        <color theme="1"/>
        <rFont val="Noto Sans CJK SC"/>
        <family val="2"/>
      </rPr>
      <t xml:space="preserve">시트를 채우고 </t>
    </r>
    <r>
      <rPr>
        <sz val="11"/>
        <color theme="1"/>
        <rFont val="맑은 고딕"/>
        <family val="2"/>
        <charset val="1"/>
      </rPr>
      <t>2</t>
    </r>
    <r>
      <rPr>
        <sz val="11"/>
        <color theme="1"/>
        <rFont val="Noto Sans CJK SC"/>
        <family val="2"/>
      </rPr>
      <t xml:space="preserve">장 분량 </t>
    </r>
    <r>
      <rPr>
        <sz val="11"/>
        <color theme="1"/>
        <rFont val="맑은 고딕"/>
        <family val="2"/>
        <charset val="1"/>
      </rPr>
      <t xml:space="preserve">Chapter Report </t>
    </r>
    <r>
      <rPr>
        <sz val="11"/>
        <color theme="1"/>
        <rFont val="Noto Sans CJK SC"/>
        <family val="2"/>
      </rPr>
      <t>초안을 작성했다</t>
    </r>
  </si>
  <si>
    <r>
      <rPr>
        <sz val="11"/>
        <color theme="1"/>
        <rFont val="맑은 고딕"/>
        <family val="2"/>
        <charset val="1"/>
      </rPr>
      <t>1</t>
    </r>
    <r>
      <rPr>
        <sz val="11"/>
        <color theme="1"/>
        <rFont val="Noto Sans CJK SC"/>
        <family val="2"/>
      </rPr>
      <t>장 과제③</t>
    </r>
  </si>
  <si>
    <r>
      <rPr>
        <sz val="11"/>
        <color theme="1"/>
        <rFont val="맑은 고딕"/>
        <family val="2"/>
        <charset val="1"/>
      </rPr>
      <t>60</t>
    </r>
    <r>
      <rPr>
        <sz val="11"/>
        <color theme="1"/>
        <rFont val="Noto Sans CJK SC"/>
        <family val="2"/>
      </rPr>
      <t>개월 월말 주가</t>
    </r>
    <r>
      <rPr>
        <sz val="11"/>
        <color theme="1"/>
        <rFont val="맑은 고딕"/>
        <family val="2"/>
        <charset val="1"/>
      </rPr>
      <t>·KOSPI</t>
    </r>
    <r>
      <rPr>
        <sz val="11"/>
        <color theme="1"/>
        <rFont val="Noto Sans CJK SC"/>
        <family val="2"/>
      </rPr>
      <t>를 입력하고 지수화 그래프와 해석을 완성했다</t>
    </r>
  </si>
  <si>
    <r>
      <rPr>
        <sz val="11"/>
        <color theme="1"/>
        <rFont val="맑은 고딕"/>
        <family val="2"/>
        <charset val="1"/>
      </rPr>
      <t>1</t>
    </r>
    <r>
      <rPr>
        <sz val="11"/>
        <color theme="1"/>
        <rFont val="Noto Sans CJK SC"/>
        <family val="2"/>
      </rPr>
      <t>장 과제⑤</t>
    </r>
  </si>
  <si>
    <t>증권사 보고서와 신용평가기관 보고서를 확보해 1-4 시트에서 비교하고 1-5·1-6 시트에 첨부했다</t>
  </si>
  <si>
    <r>
      <rPr>
        <sz val="11"/>
        <color theme="1"/>
        <rFont val="맑은 고딕"/>
        <family val="2"/>
        <charset val="1"/>
      </rPr>
      <t>2</t>
    </r>
    <r>
      <rPr>
        <sz val="11"/>
        <color theme="1"/>
        <rFont val="Noto Sans CJK SC"/>
        <family val="2"/>
      </rPr>
      <t>장 과제①</t>
    </r>
  </si>
  <si>
    <t>두 기업 6개년 재무상태표를 입력했고 검증행이 OK다 / 공통형 분석과 증감율(분석적 검토)을 작성했다</t>
  </si>
  <si>
    <r>
      <rPr>
        <sz val="11"/>
        <color theme="1"/>
        <rFont val="맑은 고딕"/>
        <family val="2"/>
        <charset val="1"/>
      </rPr>
      <t>2</t>
    </r>
    <r>
      <rPr>
        <sz val="11"/>
        <color theme="1"/>
        <rFont val="Noto Sans CJK SC"/>
        <family val="2"/>
      </rPr>
      <t>장 과제②</t>
    </r>
  </si>
  <si>
    <r>
      <rPr>
        <sz val="11"/>
        <color theme="1"/>
        <rFont val="맑은 고딕"/>
        <family val="2"/>
        <charset val="1"/>
      </rPr>
      <t>2</t>
    </r>
    <r>
      <rPr>
        <sz val="11"/>
        <color theme="1"/>
        <rFont val="Noto Sans CJK SC"/>
        <family val="2"/>
      </rPr>
      <t>장 과제⑥</t>
    </r>
  </si>
  <si>
    <r>
      <rPr>
        <sz val="11"/>
        <color theme="1"/>
        <rFont val="맑은 고딕"/>
        <family val="2"/>
        <charset val="1"/>
      </rPr>
      <t>6</t>
    </r>
    <r>
      <rPr>
        <sz val="11"/>
        <color theme="1"/>
        <rFont val="Noto Sans CJK SC"/>
        <family val="2"/>
      </rPr>
      <t xml:space="preserve">개년 </t>
    </r>
    <r>
      <rPr>
        <sz val="11"/>
        <color theme="1"/>
        <rFont val="맑은 고딕"/>
        <family val="2"/>
        <charset val="1"/>
      </rPr>
      <t>PBR</t>
    </r>
    <r>
      <rPr>
        <sz val="11"/>
        <color theme="1"/>
        <rFont val="Noto Sans CJK SC"/>
        <family val="2"/>
      </rPr>
      <t>을 지배기업 소유주지분</t>
    </r>
    <r>
      <rPr>
        <sz val="11"/>
        <color theme="1"/>
        <rFont val="맑은 고딕"/>
        <family val="2"/>
        <charset val="1"/>
      </rPr>
      <t>·</t>
    </r>
    <r>
      <rPr>
        <sz val="11"/>
        <color theme="1"/>
        <rFont val="Noto Sans CJK SC"/>
        <family val="2"/>
      </rPr>
      <t>유통주식수 기준으로 계산하고 추이와 차이의 원인을 서술했다</t>
    </r>
  </si>
  <si>
    <t>완료 항목 수</t>
  </si>
  <si>
    <r>
      <t>1-1_</t>
    </r>
    <r>
      <rPr>
        <b/>
        <sz val="11"/>
        <color rgb="FF000000"/>
        <rFont val="Noto Sans CJK SC"/>
        <family val="2"/>
      </rPr>
      <t>기업선정</t>
    </r>
  </si>
  <si>
    <r>
      <t>[1</t>
    </r>
    <r>
      <rPr>
        <sz val="11"/>
        <color rgb="FF000000"/>
        <rFont val="Noto Sans CJK SC"/>
        <family val="2"/>
      </rPr>
      <t>장 과제①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>대상기업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Noto Sans CJK SC"/>
        <family val="2"/>
      </rPr>
      <t xml:space="preserve">비교기업을 고르고 </t>
    </r>
    <r>
      <rPr>
        <sz val="11"/>
        <color rgb="FF000000"/>
        <rFont val="맑은 고딕"/>
        <family val="3"/>
        <charset val="129"/>
      </rPr>
      <t xml:space="preserve">DART </t>
    </r>
    <r>
      <rPr>
        <sz val="11"/>
        <color rgb="FF000000"/>
        <rFont val="Noto Sans CJK SC"/>
        <family val="2"/>
      </rPr>
      <t>사업보고서에서 기본정보를 정리합니다</t>
    </r>
    <r>
      <rPr>
        <sz val="11"/>
        <color rgb="FF000000"/>
        <rFont val="맑은 고딕"/>
        <family val="3"/>
        <charset val="129"/>
      </rPr>
      <t>.</t>
    </r>
  </si>
  <si>
    <r>
      <t>1-2_</t>
    </r>
    <r>
      <rPr>
        <b/>
        <sz val="11"/>
        <color rgb="FF000000"/>
        <rFont val="Noto Sans CJK SC"/>
        <family val="2"/>
      </rPr>
      <t>기업개요비교</t>
    </r>
  </si>
  <si>
    <r>
      <t>[1</t>
    </r>
    <r>
      <rPr>
        <sz val="11"/>
        <color rgb="FF000000"/>
        <rFont val="Noto Sans CJK SC"/>
        <family val="2"/>
      </rPr>
      <t>장 과제②</t>
    </r>
    <r>
      <rPr>
        <sz val="11"/>
        <color rgb="FF000000"/>
        <rFont val="맑은 고딕"/>
        <family val="3"/>
        <charset val="129"/>
      </rPr>
      <t>] Chapter Report</t>
    </r>
    <r>
      <rPr>
        <sz val="11"/>
        <color rgb="FF000000"/>
        <rFont val="Noto Sans CJK SC"/>
        <family val="2"/>
      </rPr>
      <t>에 들어갈 산업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Noto Sans CJK SC"/>
        <family val="2"/>
      </rPr>
      <t>경쟁현황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Noto Sans CJK SC"/>
        <family val="2"/>
      </rPr>
      <t>제품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Noto Sans CJK SC"/>
        <family val="2"/>
      </rPr>
      <t>지배구조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Noto Sans CJK SC"/>
        <family val="2"/>
      </rPr>
      <t>경영자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Noto Sans CJK SC"/>
        <family val="2"/>
      </rPr>
      <t>감사인을 두 기업 나란히 비교합니다</t>
    </r>
    <r>
      <rPr>
        <sz val="11"/>
        <color rgb="FF000000"/>
        <rFont val="맑은 고딕"/>
        <family val="3"/>
        <charset val="129"/>
      </rPr>
      <t>.</t>
    </r>
  </si>
  <si>
    <r>
      <t>1-3_</t>
    </r>
    <r>
      <rPr>
        <b/>
        <sz val="11"/>
        <color rgb="FF000000"/>
        <rFont val="Noto Sans CJK SC"/>
        <family val="2"/>
      </rPr>
      <t>주가추이</t>
    </r>
    <r>
      <rPr>
        <b/>
        <sz val="11"/>
        <color rgb="FF000000"/>
        <rFont val="맑은 고딕"/>
        <family val="3"/>
        <charset val="129"/>
      </rPr>
      <t>_</t>
    </r>
    <r>
      <rPr>
        <b/>
        <sz val="11"/>
        <color rgb="FF000000"/>
        <rFont val="Noto Sans CJK SC"/>
        <family val="2"/>
      </rPr>
      <t>월별</t>
    </r>
  </si>
  <si>
    <r>
      <t>1-4_</t>
    </r>
    <r>
      <rPr>
        <b/>
        <sz val="11"/>
        <color rgb="FF000000"/>
        <rFont val="Noto Sans CJK SC"/>
        <family val="2"/>
      </rPr>
      <t>보고서비교</t>
    </r>
  </si>
  <si>
    <r>
      <t>1-5_</t>
    </r>
    <r>
      <rPr>
        <b/>
        <sz val="11"/>
        <color rgb="FF000000"/>
        <rFont val="Noto Sans CJK SC"/>
        <family val="2"/>
      </rPr>
      <t>애널리스트보고서</t>
    </r>
  </si>
  <si>
    <r>
      <t>1-6_</t>
    </r>
    <r>
      <rPr>
        <b/>
        <sz val="11"/>
        <color rgb="FF000000"/>
        <rFont val="Noto Sans CJK SC"/>
        <family val="2"/>
      </rPr>
      <t>신용평가보고서</t>
    </r>
  </si>
  <si>
    <r>
      <t>2-0_</t>
    </r>
    <r>
      <rPr>
        <b/>
        <sz val="11"/>
        <color rgb="FF000000"/>
        <rFont val="Noto Sans CJK SC"/>
        <family val="2"/>
      </rPr>
      <t>왜</t>
    </r>
    <r>
      <rPr>
        <b/>
        <sz val="11"/>
        <color rgb="FF000000"/>
        <rFont val="맑은 고딕"/>
        <family val="3"/>
        <charset val="129"/>
      </rPr>
      <t>_</t>
    </r>
    <r>
      <rPr>
        <b/>
        <sz val="11"/>
        <color rgb="FF000000"/>
        <rFont val="Noto Sans CJK SC"/>
        <family val="2"/>
      </rPr>
      <t>이</t>
    </r>
    <r>
      <rPr>
        <b/>
        <sz val="11"/>
        <color rgb="FF000000"/>
        <rFont val="맑은 고딕"/>
        <family val="3"/>
        <charset val="129"/>
      </rPr>
      <t>_</t>
    </r>
    <r>
      <rPr>
        <b/>
        <sz val="11"/>
        <color rgb="FF000000"/>
        <rFont val="Noto Sans CJK SC"/>
        <family val="2"/>
      </rPr>
      <t>실습인가</t>
    </r>
  </si>
  <si>
    <r>
      <t>2-1_</t>
    </r>
    <r>
      <rPr>
        <b/>
        <sz val="11"/>
        <color rgb="FF000000"/>
        <rFont val="Noto Sans CJK SC"/>
        <family val="2"/>
      </rPr>
      <t>재무상태표</t>
    </r>
  </si>
  <si>
    <r>
      <t>[2</t>
    </r>
    <r>
      <rPr>
        <sz val="11"/>
        <color rgb="FF000000"/>
        <rFont val="Noto Sans CJK SC"/>
        <family val="2"/>
      </rPr>
      <t>장 과제①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두 기업 </t>
    </r>
    <r>
      <rPr>
        <sz val="11"/>
        <color rgb="FF000000"/>
        <rFont val="맑은 고딕"/>
        <family val="3"/>
        <charset val="129"/>
      </rPr>
      <t>6</t>
    </r>
    <r>
      <rPr>
        <sz val="11"/>
        <color rgb="FF000000"/>
        <rFont val="Noto Sans CJK SC"/>
        <family val="2"/>
      </rPr>
      <t>개년 재무상태표를 입력하고 오른쪽에 공통형 분석과 증감율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분석적 검토</t>
    </r>
    <r>
      <rPr>
        <sz val="11"/>
        <color rgb="FF000000"/>
        <rFont val="맑은 고딕"/>
        <family val="3"/>
        <charset val="129"/>
      </rPr>
      <t>)</t>
    </r>
    <r>
      <rPr>
        <sz val="11"/>
        <color rgb="FF000000"/>
        <rFont val="Noto Sans CJK SC"/>
        <family val="2"/>
      </rPr>
      <t>을 작성합니다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>이후 모든 시트가 이 시트를 참조합니다</t>
    </r>
    <r>
      <rPr>
        <sz val="11"/>
        <color rgb="FF000000"/>
        <rFont val="맑은 고딕"/>
        <family val="3"/>
        <charset val="129"/>
      </rPr>
      <t>.</t>
    </r>
  </si>
  <si>
    <r>
      <t>2-2_</t>
    </r>
    <r>
      <rPr>
        <b/>
        <sz val="11"/>
        <color rgb="FF000000"/>
        <rFont val="Noto Sans CJK SC"/>
        <family val="2"/>
      </rPr>
      <t>공통형</t>
    </r>
    <r>
      <rPr>
        <b/>
        <sz val="11"/>
        <color rgb="FF000000"/>
        <rFont val="맑은 고딕"/>
        <family val="3"/>
        <charset val="129"/>
      </rPr>
      <t>_</t>
    </r>
    <r>
      <rPr>
        <b/>
        <sz val="11"/>
        <color rgb="FF000000"/>
        <rFont val="Noto Sans CJK SC"/>
        <family val="2"/>
      </rPr>
      <t>해석</t>
    </r>
  </si>
  <si>
    <r>
      <t>[2</t>
    </r>
    <r>
      <rPr>
        <sz val="11"/>
        <color rgb="FF000000"/>
        <rFont val="Noto Sans CJK SC"/>
        <family val="2"/>
      </rPr>
      <t>장 과제②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공통형 분석 결과를 읽고 </t>
    </r>
    <r>
      <rPr>
        <sz val="11"/>
        <color rgb="FF000000"/>
        <rFont val="맑은 고딕"/>
        <family val="3"/>
        <charset val="129"/>
      </rPr>
      <t>Chapter Report</t>
    </r>
    <r>
      <rPr>
        <sz val="11"/>
        <color rgb="FF000000"/>
        <rFont val="Noto Sans CJK SC"/>
        <family val="2"/>
      </rPr>
      <t>용 서술을 정리합니다</t>
    </r>
    <r>
      <rPr>
        <sz val="11"/>
        <color rgb="FF000000"/>
        <rFont val="맑은 고딕"/>
        <family val="3"/>
        <charset val="129"/>
      </rPr>
      <t>.</t>
    </r>
  </si>
  <si>
    <r>
      <t>2-3_PBR_</t>
    </r>
    <r>
      <rPr>
        <b/>
        <sz val="11"/>
        <color rgb="FF000000"/>
        <rFont val="Noto Sans CJK SC"/>
        <family val="2"/>
      </rPr>
      <t>비교</t>
    </r>
  </si>
  <si>
    <r>
      <t xml:space="preserve">1-3 </t>
    </r>
    <r>
      <rPr>
        <sz val="11"/>
        <color rgb="FF000000"/>
        <rFont val="Noto Sans CJK SC"/>
        <family val="2"/>
      </rPr>
      <t>시트는 월별</t>
    </r>
    <r>
      <rPr>
        <sz val="11"/>
        <color rgb="FF000000"/>
        <rFont val="맑은 고딕"/>
        <family val="3"/>
        <charset val="129"/>
      </rPr>
      <t>(60</t>
    </r>
    <r>
      <rPr>
        <sz val="11"/>
        <color rgb="FF000000"/>
        <rFont val="Noto Sans CJK SC"/>
        <family val="2"/>
      </rPr>
      <t>개월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Noto Sans CJK SC"/>
        <family val="2"/>
      </rPr>
      <t>주가</t>
    </r>
    <r>
      <rPr>
        <sz val="11"/>
        <color rgb="FF000000"/>
        <rFont val="맑은 고딕"/>
        <family val="3"/>
        <charset val="129"/>
      </rPr>
      <t xml:space="preserve">, 2-4 </t>
    </r>
    <r>
      <rPr>
        <sz val="11"/>
        <color rgb="FF000000"/>
        <rFont val="Noto Sans CJK SC"/>
        <family val="2"/>
      </rPr>
      <t>시트는 연도별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결산일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Noto Sans CJK SC"/>
        <family val="2"/>
      </rPr>
      <t>주가를 다룹니다</t>
    </r>
    <r>
      <rPr>
        <sz val="11"/>
        <color rgb="FF000000"/>
        <rFont val="맑은 고딕"/>
        <family val="3"/>
        <charset val="129"/>
      </rPr>
      <t>. PBR</t>
    </r>
    <r>
      <rPr>
        <sz val="11"/>
        <color rgb="FF000000"/>
        <rFont val="Noto Sans CJK SC"/>
        <family val="2"/>
      </rPr>
      <t>은 결산일 장부가치와 짝을 맞춰야 하므로 연도별 주가를 씁니다</t>
    </r>
    <r>
      <rPr>
        <sz val="11"/>
        <color rgb="FF000000"/>
        <rFont val="맑은 고딕"/>
        <family val="3"/>
        <charset val="129"/>
      </rPr>
      <t>.</t>
    </r>
  </si>
  <si>
    <r>
      <t>[1장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과제③] 최근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5년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60개월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월말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종가와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KOSPI로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수익률·지수화·그래프를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만들어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대비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성과를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봅니다. (연도별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주가는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2-4 시트에 작성)</t>
    </r>
    <phoneticPr fontId="35" type="noConversion"/>
  </si>
  <si>
    <r>
      <t>[1장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과제⑤] 증권사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애널리스트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보고서와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신용평가기관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보고서의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차이를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항목별로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대조합니다.</t>
    </r>
    <phoneticPr fontId="35" type="noConversion"/>
  </si>
  <si>
    <r>
      <rPr>
        <sz val="11"/>
        <color rgb="FF000000"/>
        <rFont val="맑은 고딕"/>
        <family val="3"/>
        <charset val="129"/>
      </rPr>
      <t>대상기업의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애널리스트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보고서(기준년도의 재무 데이터를 반영한 보고서</t>
    </r>
    <r>
      <rPr>
        <sz val="11"/>
        <color rgb="FF000000"/>
        <rFont val="Arial"/>
        <family val="2"/>
      </rPr>
      <t>)</t>
    </r>
    <r>
      <rPr>
        <sz val="11"/>
        <color rgb="FF000000"/>
        <rFont val="맑은 고딕"/>
        <family val="3"/>
        <charset val="129"/>
      </rPr>
      <t>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첨부</t>
    </r>
    <r>
      <rPr>
        <sz val="11"/>
        <color rgb="FF000000"/>
        <rFont val="Arial"/>
        <family val="2"/>
      </rPr>
      <t>·</t>
    </r>
    <r>
      <rPr>
        <sz val="11"/>
        <color rgb="FF000000"/>
        <rFont val="맑은 고딕"/>
        <family val="3"/>
        <charset val="129"/>
      </rPr>
      <t>요약합니다</t>
    </r>
    <r>
      <rPr>
        <sz val="11"/>
        <color rgb="FF000000"/>
        <rFont val="Arial"/>
        <family val="2"/>
      </rPr>
      <t>.</t>
    </r>
    <phoneticPr fontId="35" type="noConversion"/>
  </si>
  <si>
    <r>
      <rPr>
        <sz val="11"/>
        <color rgb="FF000000"/>
        <rFont val="맑은 고딕"/>
        <family val="3"/>
        <charset val="129"/>
      </rPr>
      <t>대상기업의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최근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신용평가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보고서</t>
    </r>
    <r>
      <rPr>
        <sz val="11"/>
        <color rgb="FF000000"/>
        <rFont val="Arial"/>
        <family val="2"/>
      </rPr>
      <t>(</t>
    </r>
    <r>
      <rPr>
        <sz val="11"/>
        <color rgb="FF000000"/>
        <rFont val="맑은 고딕"/>
        <family val="2"/>
        <charset val="129"/>
      </rPr>
      <t>기준년도의 재무 데이터를 반영한 보고서</t>
    </r>
    <r>
      <rPr>
        <sz val="11"/>
        <color rgb="FF000000"/>
        <rFont val="Arial"/>
        <family val="2"/>
      </rPr>
      <t>)</t>
    </r>
    <r>
      <rPr>
        <sz val="11"/>
        <color rgb="FF000000"/>
        <rFont val="맑은 고딕"/>
        <family val="3"/>
        <charset val="129"/>
      </rPr>
      <t>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첨부</t>
    </r>
    <r>
      <rPr>
        <sz val="11"/>
        <color rgb="FF000000"/>
        <rFont val="Arial"/>
        <family val="2"/>
      </rPr>
      <t>·</t>
    </r>
    <r>
      <rPr>
        <sz val="11"/>
        <color rgb="FF000000"/>
        <rFont val="맑은 고딕"/>
        <family val="3"/>
        <charset val="129"/>
      </rPr>
      <t>요약합니다</t>
    </r>
    <r>
      <rPr>
        <sz val="11"/>
        <color rgb="FF000000"/>
        <rFont val="Arial"/>
        <family val="2"/>
      </rPr>
      <t>.</t>
    </r>
    <phoneticPr fontId="35" type="noConversion"/>
  </si>
  <si>
    <r>
      <t>[2장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과제③] 기준년도 결산일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종가·유통주식수·지배기업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소유주지분으로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6개년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PBR을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계산·비교하고, 시가총액과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장부가치의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차이를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해석합니다.</t>
    </r>
    <phoneticPr fontId="35" type="noConversion"/>
  </si>
  <si>
    <r>
      <t>6</t>
    </r>
    <r>
      <rPr>
        <sz val="11"/>
        <color rgb="FF808080"/>
        <rFont val="Noto Sans CJK SC"/>
        <family val="2"/>
      </rPr>
      <t>자리</t>
    </r>
    <r>
      <rPr>
        <sz val="11"/>
        <color rgb="FF808080"/>
        <rFont val="맑은 고딕"/>
        <family val="3"/>
        <charset val="129"/>
      </rPr>
      <t xml:space="preserve">. </t>
    </r>
    <r>
      <rPr>
        <sz val="11"/>
        <color rgb="FF808080"/>
        <rFont val="Noto Sans CJK SC"/>
        <family val="2"/>
      </rPr>
      <t>예</t>
    </r>
    <r>
      <rPr>
        <sz val="11"/>
        <color rgb="FF808080"/>
        <rFont val="맑은 고딕"/>
        <family val="3"/>
        <charset val="129"/>
      </rPr>
      <t>: 005930</t>
    </r>
  </si>
  <si>
    <r>
      <t xml:space="preserve">'II. </t>
    </r>
    <r>
      <rPr>
        <sz val="11"/>
        <color rgb="FF808080"/>
        <rFont val="Noto Sans CJK SC"/>
        <family val="2"/>
      </rPr>
      <t>사업의 개요</t>
    </r>
    <r>
      <rPr>
        <sz val="11"/>
        <color rgb="FF808080"/>
        <rFont val="맑은 고딕"/>
        <family val="3"/>
        <charset val="129"/>
      </rPr>
      <t xml:space="preserve">' </t>
    </r>
    <r>
      <rPr>
        <sz val="11"/>
        <color rgb="FF808080"/>
        <rFont val="Noto Sans CJK SC"/>
        <family val="2"/>
      </rPr>
      <t>매출 구성</t>
    </r>
  </si>
  <si>
    <r>
      <t>'</t>
    </r>
    <r>
      <rPr>
        <sz val="11"/>
        <color rgb="FF808080"/>
        <rFont val="Noto Sans CJK SC"/>
        <family val="2"/>
      </rPr>
      <t>대주주 등에 관한 사항</t>
    </r>
    <r>
      <rPr>
        <sz val="11"/>
        <color rgb="FF808080"/>
        <rFont val="맑은 고딕"/>
        <family val="3"/>
        <charset val="129"/>
      </rPr>
      <t>'</t>
    </r>
  </si>
  <si>
    <r>
      <t>'</t>
    </r>
    <r>
      <rPr>
        <sz val="11"/>
        <color rgb="FF808080"/>
        <rFont val="Noto Sans CJK SC"/>
        <family val="2"/>
      </rPr>
      <t>임원 및 직원 등에 관한 사항</t>
    </r>
    <r>
      <rPr>
        <sz val="11"/>
        <color rgb="FF808080"/>
        <rFont val="맑은 고딕"/>
        <family val="3"/>
        <charset val="129"/>
      </rPr>
      <t>'</t>
    </r>
  </si>
  <si>
    <r>
      <t>'</t>
    </r>
    <r>
      <rPr>
        <sz val="11"/>
        <color rgb="FF808080"/>
        <rFont val="Noto Sans CJK SC"/>
        <family val="2"/>
      </rPr>
      <t>감사인의 감사의견 등</t>
    </r>
    <r>
      <rPr>
        <sz val="11"/>
        <color rgb="FF808080"/>
        <rFont val="맑은 고딕"/>
        <family val="3"/>
        <charset val="129"/>
      </rPr>
      <t>'</t>
    </r>
  </si>
  <si>
    <r>
      <t xml:space="preserve">DART </t>
    </r>
    <r>
      <rPr>
        <sz val="11"/>
        <color rgb="FF808080"/>
        <rFont val="Noto Sans CJK SC"/>
        <family val="2"/>
      </rPr>
      <t>문서 링크</t>
    </r>
  </si>
  <si>
    <r>
      <rPr>
        <sz val="11"/>
        <color theme="1"/>
        <rFont val="맑은 고딕"/>
        <family val="3"/>
        <charset val="129"/>
      </rPr>
      <t>주가</t>
    </r>
    <r>
      <rPr>
        <sz val="11"/>
        <color theme="1"/>
        <rFont val="Arial"/>
        <family val="2"/>
      </rPr>
      <t xml:space="preserve">: DataGuide </t>
    </r>
    <r>
      <rPr>
        <sz val="11"/>
        <color theme="1"/>
        <rFont val="맑은 고딕"/>
        <family val="3"/>
        <charset val="129"/>
      </rPr>
      <t>일별종가 중 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마지막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거래일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종가 사용 가능</t>
    </r>
    <phoneticPr fontId="35" type="noConversion"/>
  </si>
  <si>
    <r>
      <rPr>
        <sz val="9"/>
        <color rgb="FF808080"/>
        <rFont val="Arial"/>
        <family val="2"/>
      </rPr>
      <t xml:space="preserve"> PDF </t>
    </r>
    <r>
      <rPr>
        <sz val="9"/>
        <color rgb="FF808080"/>
        <rFont val="맑은 고딕"/>
        <family val="3"/>
        <charset val="129"/>
      </rPr>
      <t>원문을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이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시트에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개체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삽입하거나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핵심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표</t>
    </r>
    <r>
      <rPr>
        <sz val="9"/>
        <color rgb="FF808080"/>
        <rFont val="Arial"/>
        <family val="2"/>
      </rPr>
      <t>(</t>
    </r>
    <r>
      <rPr>
        <sz val="9"/>
        <color rgb="FF808080"/>
        <rFont val="맑은 고딕"/>
        <family val="3"/>
        <charset val="129"/>
      </rPr>
      <t>실적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추정</t>
    </r>
    <r>
      <rPr>
        <sz val="9"/>
        <color rgb="FF808080"/>
        <rFont val="Arial"/>
        <family val="2"/>
      </rPr>
      <t>·</t>
    </r>
    <r>
      <rPr>
        <sz val="9"/>
        <color rgb="FF808080"/>
        <rFont val="맑은 고딕"/>
        <family val="3"/>
        <charset val="129"/>
      </rPr>
      <t>목표주가</t>
    </r>
    <r>
      <rPr>
        <sz val="9"/>
        <color rgb="FF808080"/>
        <rFont val="Arial"/>
        <family val="2"/>
      </rPr>
      <t xml:space="preserve">·P/B </t>
    </r>
    <r>
      <rPr>
        <sz val="9"/>
        <color rgb="FF808080"/>
        <rFont val="맑은 고딕"/>
        <family val="3"/>
        <charset val="129"/>
      </rPr>
      <t>밴드</t>
    </r>
    <r>
      <rPr>
        <sz val="9"/>
        <color rgb="FF808080"/>
        <rFont val="Arial"/>
        <family val="2"/>
      </rPr>
      <t>)</t>
    </r>
    <r>
      <rPr>
        <sz val="9"/>
        <color rgb="FF808080"/>
        <rFont val="맑은 고딕"/>
        <family val="3"/>
        <charset val="129"/>
      </rPr>
      <t>를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옮겨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적으세요</t>
    </r>
    <r>
      <rPr>
        <sz val="9"/>
        <color rgb="FF808080"/>
        <rFont val="Arial"/>
        <family val="2"/>
      </rPr>
      <t>.</t>
    </r>
    <phoneticPr fontId="35" type="noConversion"/>
  </si>
  <si>
    <r>
      <rPr>
        <sz val="9"/>
        <color rgb="FF808080"/>
        <rFont val="Arial"/>
        <family val="2"/>
      </rPr>
      <t xml:space="preserve"> PDF </t>
    </r>
    <r>
      <rPr>
        <sz val="9"/>
        <color rgb="FF808080"/>
        <rFont val="맑은 고딕"/>
        <family val="3"/>
        <charset val="129"/>
      </rPr>
      <t>원문을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개체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삽입하거나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주요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재무지표</t>
    </r>
    <r>
      <rPr>
        <sz val="9"/>
        <color rgb="FF808080"/>
        <rFont val="Arial"/>
        <family val="2"/>
      </rPr>
      <t>·</t>
    </r>
    <r>
      <rPr>
        <sz val="9"/>
        <color rgb="FF808080"/>
        <rFont val="맑은 고딕"/>
        <family val="3"/>
        <charset val="129"/>
      </rPr>
      <t>등급논리를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옮겨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적으세요</t>
    </r>
    <r>
      <rPr>
        <sz val="9"/>
        <color rgb="FF808080"/>
        <rFont val="Arial"/>
        <family val="2"/>
      </rPr>
      <t>.</t>
    </r>
    <phoneticPr fontId="35" type="noConversion"/>
  </si>
  <si>
    <r>
      <t xml:space="preserve">1-1 </t>
    </r>
    <r>
      <rPr>
        <b/>
        <sz val="11"/>
        <color rgb="FF000000"/>
        <rFont val="Noto Sans CJK SC"/>
        <family val="2"/>
      </rPr>
      <t xml:space="preserve">기업선정
</t>
    </r>
    <r>
      <rPr>
        <b/>
        <sz val="11"/>
        <color rgb="FF000000"/>
        <rFont val="맑은 고딕"/>
        <family val="3"/>
        <charset val="129"/>
      </rPr>
      <t xml:space="preserve">1-2 </t>
    </r>
    <r>
      <rPr>
        <b/>
        <sz val="11"/>
        <color rgb="FF000000"/>
        <rFont val="Noto Sans CJK SC"/>
        <family val="2"/>
      </rPr>
      <t>기업개요비교</t>
    </r>
  </si>
  <si>
    <r>
      <t>3</t>
    </r>
    <r>
      <rPr>
        <sz val="11"/>
        <color rgb="FF000000"/>
        <rFont val="Noto Sans CJK SC"/>
        <family val="2"/>
      </rPr>
      <t xml:space="preserve">장 횡단면분석의 전제 </t>
    </r>
    <r>
      <rPr>
        <sz val="11"/>
        <color rgb="FF000000"/>
        <rFont val="맑은 고딕"/>
        <family val="3"/>
        <charset val="129"/>
      </rPr>
      <t>"</t>
    </r>
    <r>
      <rPr>
        <sz val="11"/>
        <color rgb="FF000000"/>
        <rFont val="Noto Sans CJK SC"/>
        <family val="2"/>
      </rPr>
      <t>동종업계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Noto Sans CJK SC"/>
        <family val="2"/>
      </rPr>
      <t>유사 규모</t>
    </r>
    <r>
      <rPr>
        <sz val="11"/>
        <color rgb="FF000000"/>
        <rFont val="맑은 고딕"/>
        <family val="3"/>
        <charset val="129"/>
      </rPr>
      <t xml:space="preserve">"[Ch03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>18] · 5</t>
    </r>
    <r>
      <rPr>
        <sz val="11"/>
        <color rgb="FF000000"/>
        <rFont val="Noto Sans CJK SC"/>
        <family val="2"/>
      </rPr>
      <t>장 산업평균 비교의 함정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공상은행</t>
    </r>
    <r>
      <rPr>
        <sz val="11"/>
        <color rgb="FF000000"/>
        <rFont val="맑은 고딕"/>
        <family val="3"/>
        <charset val="129"/>
      </rPr>
      <t xml:space="preserve">)[Ch05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>15] · 11</t>
    </r>
    <r>
      <rPr>
        <sz val="11"/>
        <color rgb="FF000000"/>
        <rFont val="Noto Sans CJK SC"/>
        <family val="2"/>
      </rPr>
      <t>장 상대가치의 비교기업 선정 기준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자산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Noto Sans CJK SC"/>
        <family val="2"/>
      </rPr>
      <t>매출 규모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>산업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>부채비율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>발전단계</t>
    </r>
    <r>
      <rPr>
        <sz val="11"/>
        <color rgb="FF000000"/>
        <rFont val="맑은 고딕"/>
        <family val="3"/>
        <charset val="129"/>
      </rPr>
      <t xml:space="preserve">)[Ch11 </t>
    </r>
    <r>
      <rPr>
        <sz val="11"/>
        <color rgb="FF000000"/>
        <rFont val="Noto Sans CJK SC"/>
        <family val="2"/>
      </rPr>
      <t xml:space="preserve">슬라이드 </t>
    </r>
    <r>
      <rPr>
        <sz val="11"/>
        <color rgb="FF000000"/>
        <rFont val="맑은 고딕"/>
        <family val="3"/>
        <charset val="129"/>
      </rPr>
      <t xml:space="preserve">15 </t>
    </r>
    <r>
      <rPr>
        <sz val="11"/>
        <color rgb="FF000000"/>
        <rFont val="Noto Sans CJK SC"/>
        <family val="2"/>
      </rPr>
      <t>노트</t>
    </r>
    <r>
      <rPr>
        <sz val="11"/>
        <color rgb="FF000000"/>
        <rFont val="맑은 고딕"/>
        <family val="3"/>
        <charset val="129"/>
      </rPr>
      <t>]</t>
    </r>
  </si>
  <si>
    <r>
      <t xml:space="preserve">1-3 </t>
    </r>
    <r>
      <rPr>
        <b/>
        <sz val="11"/>
        <color rgb="FF000000"/>
        <rFont val="Noto Sans CJK SC"/>
        <family val="2"/>
      </rPr>
      <t>주가추이</t>
    </r>
    <r>
      <rPr>
        <b/>
        <sz val="11"/>
        <color rgb="FF000000"/>
        <rFont val="맑은 고딕"/>
        <family val="3"/>
        <charset val="129"/>
      </rPr>
      <t>(</t>
    </r>
    <r>
      <rPr>
        <b/>
        <sz val="11"/>
        <color rgb="FF000000"/>
        <rFont val="Noto Sans CJK SC"/>
        <family val="2"/>
      </rPr>
      <t>월별</t>
    </r>
    <r>
      <rPr>
        <b/>
        <sz val="11"/>
        <color rgb="FF000000"/>
        <rFont val="맑은 고딕"/>
        <family val="3"/>
        <charset val="129"/>
      </rPr>
      <t>)</t>
    </r>
  </si>
  <si>
    <r>
      <t>60</t>
    </r>
    <r>
      <rPr>
        <sz val="11"/>
        <color rgb="FF000000"/>
        <rFont val="Noto Sans CJK SC"/>
        <family val="2"/>
      </rPr>
      <t>개월 월말 종가</t>
    </r>
    <r>
      <rPr>
        <sz val="11"/>
        <color rgb="FF000000"/>
        <rFont val="맑은 고딕"/>
        <family val="3"/>
        <charset val="129"/>
      </rPr>
      <t>·KOSPI</t>
    </r>
    <r>
      <rPr>
        <sz val="11"/>
        <color rgb="FF000000"/>
        <rFont val="Noto Sans CJK SC"/>
        <family val="2"/>
      </rPr>
      <t>로 수익률과 지수를 만든다</t>
    </r>
    <r>
      <rPr>
        <sz val="11"/>
        <color rgb="FF000000"/>
        <rFont val="맑은 고딕"/>
        <family val="3"/>
        <charset val="129"/>
      </rPr>
      <t>.</t>
    </r>
  </si>
  <si>
    <r>
      <t xml:space="preserve">1-4 </t>
    </r>
    <r>
      <rPr>
        <b/>
        <sz val="11"/>
        <color rgb="FF000000"/>
        <rFont val="Noto Sans CJK SC"/>
        <family val="2"/>
      </rPr>
      <t xml:space="preserve">보고서비교
</t>
    </r>
    <r>
      <rPr>
        <b/>
        <sz val="11"/>
        <color rgb="FF000000"/>
        <rFont val="맑은 고딕"/>
        <family val="3"/>
        <charset val="129"/>
      </rPr>
      <t xml:space="preserve">1-5·1-6 </t>
    </r>
    <r>
      <rPr>
        <b/>
        <sz val="11"/>
        <color rgb="FF000000"/>
        <rFont val="Noto Sans CJK SC"/>
        <family val="2"/>
      </rPr>
      <t>첨부</t>
    </r>
  </si>
  <si>
    <r>
      <t xml:space="preserve">2-1 </t>
    </r>
    <r>
      <rPr>
        <b/>
        <sz val="11"/>
        <color rgb="FF000000"/>
        <rFont val="Noto Sans CJK SC"/>
        <family val="2"/>
      </rPr>
      <t>재무상태표</t>
    </r>
  </si>
  <si>
    <r>
      <t>6</t>
    </r>
    <r>
      <rPr>
        <sz val="11"/>
        <color rgb="FF000000"/>
        <rFont val="Noto Sans CJK SC"/>
        <family val="2"/>
      </rPr>
      <t>개년 재무상태표 입력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>공통형 분석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>증감율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분석적 검토</t>
    </r>
    <r>
      <rPr>
        <sz val="11"/>
        <color rgb="FF000000"/>
        <rFont val="맑은 고딕"/>
        <family val="3"/>
        <charset val="129"/>
      </rPr>
      <t>).</t>
    </r>
  </si>
  <si>
    <r>
      <t xml:space="preserve">2-2 </t>
    </r>
    <r>
      <rPr>
        <b/>
        <sz val="11"/>
        <color rgb="FF000000"/>
        <rFont val="Noto Sans CJK SC"/>
        <family val="2"/>
      </rPr>
      <t>공통형 해석</t>
    </r>
  </si>
  <si>
    <r>
      <t xml:space="preserve">2-3 PBR </t>
    </r>
    <r>
      <rPr>
        <b/>
        <sz val="11"/>
        <color rgb="FF000000"/>
        <rFont val="Noto Sans CJK SC"/>
        <family val="2"/>
      </rPr>
      <t>비교</t>
    </r>
  </si>
  <si>
    <t>작업</t>
    <phoneticPr fontId="35" type="noConversion"/>
  </si>
  <si>
    <t>실무적 적용</t>
    <phoneticPr fontId="35" type="noConversion"/>
  </si>
  <si>
    <r>
      <t>7장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베타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추정: 대상 기업과 시장지수의 월별/일별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 xml:space="preserve">주식 </t>
    </r>
    <r>
      <rPr>
        <sz val="11"/>
        <color rgb="FF000000"/>
        <rFont val="맑은 고딕"/>
        <family val="3"/>
        <charset val="129"/>
      </rPr>
      <t>수익률을 이용하여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Calibri"/>
        <family val="3"/>
        <charset val="161"/>
      </rPr>
      <t>β</t>
    </r>
    <r>
      <rPr>
        <sz val="11"/>
        <color rgb="FF000000"/>
        <rFont val="맑은 고딕"/>
        <family val="3"/>
        <charset val="129"/>
      </rPr>
      <t>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구한다[Ch07 슬라이드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10] → CAPM 자기자본비용[Ch07 슬라이드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9] → 11장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RIM·DDM의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할인율[Ch11 슬라이드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5]</t>
    </r>
    <phoneticPr fontId="35" type="noConversion"/>
  </si>
  <si>
    <r>
      <t>"1장에서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고른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비교기업이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지금도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적절한가"를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매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장마다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다시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묻는다[Ch03 슬라이드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18]. 규모가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크게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다르면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peer를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좁히거나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중위값을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쓴다[Ch05 슬라이드].</t>
    </r>
    <phoneticPr fontId="35" type="noConversion"/>
  </si>
  <si>
    <r>
      <rPr>
        <sz val="11"/>
        <color rgb="FF000000"/>
        <rFont val="맑은 고딕"/>
        <family val="3"/>
        <charset val="129"/>
      </rPr>
      <t>월별</t>
    </r>
    <r>
      <rPr>
        <sz val="11"/>
        <color rgb="FF000000"/>
        <rFont val="Arial"/>
        <family val="2"/>
      </rPr>
      <t xml:space="preserve"> 60</t>
    </r>
    <r>
      <rPr>
        <sz val="11"/>
        <color rgb="FF000000"/>
        <rFont val="맑은 고딕"/>
        <family val="3"/>
        <charset val="129"/>
      </rPr>
      <t>개월</t>
    </r>
    <r>
      <rPr>
        <sz val="11"/>
        <color rgb="FF000000"/>
        <rFont val="Arial"/>
        <family val="2"/>
      </rPr>
      <t xml:space="preserve">·KOSPI </t>
    </r>
    <r>
      <rPr>
        <sz val="11"/>
        <color rgb="FF000000"/>
        <rFont val="맑은 고딕"/>
        <family val="3"/>
        <charset val="129"/>
      </rPr>
      <t>기준으로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통일하고</t>
    </r>
    <r>
      <rPr>
        <sz val="11"/>
        <color rgb="FF000000"/>
        <rFont val="Arial"/>
        <family val="2"/>
      </rPr>
      <t xml:space="preserve"> R²</t>
    </r>
    <r>
      <rPr>
        <sz val="11"/>
        <color rgb="FF000000"/>
        <rFont val="맑은 고딕"/>
        <family val="3"/>
        <charset val="129"/>
      </rPr>
      <t>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확인한다</t>
    </r>
    <r>
      <rPr>
        <sz val="11"/>
        <color rgb="FF000000"/>
        <rFont val="Arial"/>
        <family val="2"/>
      </rPr>
      <t xml:space="preserve">. </t>
    </r>
    <r>
      <rPr>
        <sz val="11"/>
        <color rgb="FF000000"/>
        <rFont val="맑은 고딕"/>
        <family val="3"/>
        <charset val="129"/>
      </rPr>
      <t>실무에서는 베타가 장기적으로 1로 회귀한다는 실증에 근거하여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조정베타</t>
    </r>
    <r>
      <rPr>
        <sz val="11"/>
        <color rgb="FF000000"/>
        <rFont val="Arial"/>
        <family val="2"/>
      </rPr>
      <t>(0.67</t>
    </r>
    <r>
      <rPr>
        <sz val="11"/>
        <color rgb="FF000000"/>
        <rFont val="Noto Sans CJK SC"/>
        <family val="2"/>
        <charset val="129"/>
      </rPr>
      <t>×</t>
    </r>
    <r>
      <rPr>
        <sz val="11"/>
        <color rgb="FF000000"/>
        <rFont val="Arial"/>
        <family val="2"/>
      </rPr>
      <t>β+0.33)</t>
    </r>
    <r>
      <rPr>
        <sz val="11"/>
        <color rgb="FF000000"/>
        <rFont val="맑은 고딕"/>
        <family val="2"/>
        <charset val="129"/>
      </rPr>
      <t xml:space="preserve">를 쓰기도 한다- 블룸버그 조정베타 </t>
    </r>
    <r>
      <rPr>
        <sz val="11"/>
        <color rgb="FF000000"/>
        <rFont val="Arial"/>
        <family val="2"/>
      </rPr>
      <t xml:space="preserve">[Ch07 </t>
    </r>
    <r>
      <rPr>
        <sz val="11"/>
        <color rgb="FF000000"/>
        <rFont val="맑은 고딕"/>
        <family val="3"/>
        <charset val="129"/>
      </rPr>
      <t>슬라이드</t>
    </r>
    <r>
      <rPr>
        <sz val="11"/>
        <color rgb="FF000000"/>
        <rFont val="Arial"/>
        <family val="2"/>
      </rPr>
      <t xml:space="preserve"> 10].</t>
    </r>
    <phoneticPr fontId="35" type="noConversion"/>
  </si>
  <si>
    <r>
      <t>7장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"재무제표로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보는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Noto Sans CJK SC"/>
        <family val="2"/>
        <charset val="129"/>
      </rPr>
      <t>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관점이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다르다": 주가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변동성(주주) vs 파산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가능성(채권자)[Ch07 슬라이드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13] · 11장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가치평가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결과를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투자의견으로[Ch11 슬라이드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16]</t>
    </r>
    <phoneticPr fontId="35" type="noConversion"/>
  </si>
  <si>
    <r>
      <rPr>
        <sz val="11"/>
        <color rgb="FF000000"/>
        <rFont val="맑은 고딕"/>
        <family val="3"/>
        <charset val="129"/>
      </rPr>
      <t>같은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재무제표를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주주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관점</t>
    </r>
    <r>
      <rPr>
        <sz val="11"/>
        <color rgb="FF000000"/>
        <rFont val="Arial"/>
        <family val="2"/>
      </rPr>
      <t>(PBR·</t>
    </r>
    <r>
      <rPr>
        <sz val="11"/>
        <color rgb="FF000000"/>
        <rFont val="맑은 고딕"/>
        <family val="3"/>
        <charset val="129"/>
      </rPr>
      <t>초과이익</t>
    </r>
    <r>
      <rPr>
        <sz val="11"/>
        <color rgb="FF000000"/>
        <rFont val="Arial"/>
        <family val="2"/>
      </rPr>
      <t>)</t>
    </r>
    <r>
      <rPr>
        <sz val="11"/>
        <color rgb="FF000000"/>
        <rFont val="맑은 고딕"/>
        <family val="3"/>
        <charset val="129"/>
      </rPr>
      <t>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채권자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관점</t>
    </r>
    <r>
      <rPr>
        <sz val="11"/>
        <color rgb="FF000000"/>
        <rFont val="Arial"/>
        <family val="2"/>
      </rPr>
      <t>(</t>
    </r>
    <r>
      <rPr>
        <sz val="11"/>
        <color rgb="FF000000"/>
        <rFont val="맑은 고딕"/>
        <family val="3"/>
        <charset val="129"/>
      </rPr>
      <t>순차입금</t>
    </r>
    <r>
      <rPr>
        <sz val="11"/>
        <color rgb="FF000000"/>
        <rFont val="Arial"/>
        <family val="2"/>
      </rPr>
      <t>·</t>
    </r>
    <r>
      <rPr>
        <sz val="11"/>
        <color rgb="FF000000"/>
        <rFont val="맑은 고딕"/>
        <family val="3"/>
        <charset val="129"/>
      </rPr>
      <t>이자보상</t>
    </r>
    <r>
      <rPr>
        <sz val="11"/>
        <color rgb="FF000000"/>
        <rFont val="Arial"/>
        <family val="2"/>
      </rPr>
      <t>)</t>
    </r>
    <r>
      <rPr>
        <sz val="11"/>
        <color rgb="FF000000"/>
        <rFont val="맑은 고딕"/>
        <family val="3"/>
        <charset val="129"/>
      </rPr>
      <t>으로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읽는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연습</t>
    </r>
    <r>
      <rPr>
        <sz val="11"/>
        <color rgb="FF000000"/>
        <rFont val="Arial"/>
        <family val="2"/>
      </rPr>
      <t>. 2-3·2-4</t>
    </r>
    <r>
      <rPr>
        <sz val="11"/>
        <color rgb="FF000000"/>
        <rFont val="맑은 고딕"/>
        <family val="3"/>
        <charset val="129"/>
      </rPr>
      <t>의</t>
    </r>
    <r>
      <rPr>
        <sz val="11"/>
        <color rgb="FF000000"/>
        <rFont val="Arial"/>
        <family val="2"/>
      </rPr>
      <t xml:space="preserve"> PBR </t>
    </r>
    <r>
      <rPr>
        <sz val="11"/>
        <color rgb="FF000000"/>
        <rFont val="맑은 고딕"/>
        <family val="3"/>
        <charset val="129"/>
      </rPr>
      <t>분석은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주주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관점이다</t>
    </r>
    <r>
      <rPr>
        <sz val="11"/>
        <color rgb="FF000000"/>
        <rFont val="Arial"/>
        <family val="2"/>
      </rPr>
      <t>.</t>
    </r>
    <phoneticPr fontId="35" type="noConversion"/>
  </si>
  <si>
    <r>
      <rPr>
        <sz val="11"/>
        <color rgb="FF000000"/>
        <rFont val="맑은 고딕"/>
        <family val="3"/>
        <charset val="129"/>
      </rPr>
      <t>보고서의</t>
    </r>
    <r>
      <rPr>
        <sz val="11"/>
        <color rgb="FF000000"/>
        <rFont val="Arial"/>
        <family val="2"/>
      </rPr>
      <t xml:space="preserve"> P/B·ROE</t>
    </r>
    <r>
      <rPr>
        <sz val="11"/>
        <color rgb="FF000000"/>
        <rFont val="맑은 고딕"/>
        <family val="3"/>
        <charset val="129"/>
      </rPr>
      <t>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후행(trailing)인지,</t>
    </r>
    <r>
      <rPr>
        <sz val="11"/>
        <color rgb="FF000000"/>
        <rFont val="Arial"/>
        <family val="2"/>
      </rPr>
      <t xml:space="preserve"> 12</t>
    </r>
    <r>
      <rPr>
        <sz val="11"/>
        <color rgb="FF000000"/>
        <rFont val="맑은 고딕"/>
        <family val="3"/>
        <charset val="129"/>
      </rPr>
      <t>개월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선행</t>
    </r>
    <r>
      <rPr>
        <sz val="11"/>
        <color rgb="FF000000"/>
        <rFont val="Arial"/>
        <family val="2"/>
      </rPr>
      <t>(forward, 12MF)</t>
    </r>
    <r>
      <rPr>
        <sz val="11"/>
        <color rgb="FF000000"/>
        <rFont val="맑은 고딕"/>
        <family val="3"/>
        <charset val="129"/>
      </rPr>
      <t>인지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시가총액이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유통주식수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기준인지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확인한다</t>
    </r>
    <r>
      <rPr>
        <sz val="11"/>
        <color rgb="FF000000"/>
        <rFont val="Arial"/>
        <family val="2"/>
      </rPr>
      <t xml:space="preserve">[Ch03 </t>
    </r>
    <r>
      <rPr>
        <sz val="11"/>
        <color rgb="FF000000"/>
        <rFont val="맑은 고딕"/>
        <family val="3"/>
        <charset val="129"/>
      </rPr>
      <t>슬라이드</t>
    </r>
    <r>
      <rPr>
        <sz val="11"/>
        <color rgb="FF000000"/>
        <rFont val="Arial"/>
        <family val="2"/>
      </rPr>
      <t xml:space="preserve"> 19].</t>
    </r>
    <phoneticPr fontId="35" type="noConversion"/>
  </si>
  <si>
    <r>
      <rPr>
        <sz val="11"/>
        <color rgb="FF000000"/>
        <rFont val="맑은 고딕"/>
        <family val="3"/>
        <charset val="129"/>
      </rPr>
      <t>계정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정의를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자료마다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확인한다</t>
    </r>
    <r>
      <rPr>
        <sz val="11"/>
        <color rgb="FF000000"/>
        <rFont val="Arial"/>
        <family val="2"/>
      </rPr>
      <t>(</t>
    </r>
    <r>
      <rPr>
        <sz val="11"/>
        <color rgb="FF000000"/>
        <rFont val="맑은 고딕"/>
        <family val="3"/>
        <charset val="129"/>
      </rPr>
      <t>리스부채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포함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여부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3"/>
        <charset val="129"/>
      </rPr>
      <t>단기금융자산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범위</t>
    </r>
    <r>
      <rPr>
        <sz val="11"/>
        <color rgb="FF000000"/>
        <rFont val="Arial"/>
        <family val="2"/>
      </rPr>
      <t xml:space="preserve">). </t>
    </r>
    <r>
      <rPr>
        <sz val="11"/>
        <color rgb="FF000000"/>
        <rFont val="맑은 고딕"/>
        <family val="3"/>
        <charset val="129"/>
      </rPr>
      <t>자산</t>
    </r>
    <r>
      <rPr>
        <sz val="11"/>
        <color rgb="FF000000"/>
        <rFont val="Arial"/>
        <family val="2"/>
      </rPr>
      <t xml:space="preserve"> = </t>
    </r>
    <r>
      <rPr>
        <sz val="11"/>
        <color rgb="FF000000"/>
        <rFont val="맑은 고딕"/>
        <family val="3"/>
        <charset val="129"/>
      </rPr>
      <t>부채</t>
    </r>
    <r>
      <rPr>
        <sz val="11"/>
        <color rgb="FF000000"/>
        <rFont val="Arial"/>
        <family val="2"/>
      </rPr>
      <t xml:space="preserve"> + </t>
    </r>
    <r>
      <rPr>
        <sz val="11"/>
        <color rgb="FF000000"/>
        <rFont val="맑은 고딕"/>
        <family val="3"/>
        <charset val="129"/>
      </rPr>
      <t>자본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검증행은</t>
    </r>
    <r>
      <rPr>
        <sz val="11"/>
        <color rgb="FF000000"/>
        <rFont val="Arial"/>
        <family val="2"/>
      </rPr>
      <t xml:space="preserve"> 10</t>
    </r>
    <r>
      <rPr>
        <sz val="11"/>
        <color rgb="FF000000"/>
        <rFont val="맑은 고딕"/>
        <family val="3"/>
        <charset val="129"/>
      </rPr>
      <t>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추정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재무제표에서도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그대로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쓴다</t>
    </r>
    <r>
      <rPr>
        <sz val="11"/>
        <color rgb="FF000000"/>
        <rFont val="Arial"/>
        <family val="2"/>
      </rPr>
      <t xml:space="preserve">[Ch10 </t>
    </r>
    <r>
      <rPr>
        <sz val="11"/>
        <color rgb="FF000000"/>
        <rFont val="맑은 고딕"/>
        <family val="3"/>
        <charset val="129"/>
      </rPr>
      <t>슬라이드</t>
    </r>
    <r>
      <rPr>
        <sz val="11"/>
        <color rgb="FF000000"/>
        <rFont val="Arial"/>
        <family val="2"/>
      </rPr>
      <t xml:space="preserve"> 14].</t>
    </r>
    <phoneticPr fontId="35" type="noConversion"/>
  </si>
  <si>
    <r>
      <rPr>
        <sz val="11"/>
        <color rgb="FF000000"/>
        <rFont val="맑은 고딕"/>
        <family val="3"/>
        <charset val="129"/>
      </rPr>
      <t>잠재적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자산</t>
    </r>
    <r>
      <rPr>
        <sz val="11"/>
        <color rgb="FF000000"/>
        <rFont val="Arial"/>
        <family val="2"/>
      </rPr>
      <t>·</t>
    </r>
    <r>
      <rPr>
        <sz val="11"/>
        <color rgb="FF000000"/>
        <rFont val="맑은 고딕"/>
        <family val="3"/>
        <charset val="129"/>
      </rPr>
      <t>저평가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자산</t>
    </r>
    <r>
      <rPr>
        <sz val="11"/>
        <color rgb="FF000000"/>
        <rFont val="Arial"/>
        <family val="2"/>
      </rPr>
      <t xml:space="preserve">[Ch02 </t>
    </r>
    <r>
      <rPr>
        <sz val="11"/>
        <color rgb="FF000000"/>
        <rFont val="맑은 고딕"/>
        <family val="3"/>
        <charset val="129"/>
      </rPr>
      <t>슬라이드</t>
    </r>
    <r>
      <rPr>
        <sz val="11"/>
        <color rgb="FF000000"/>
        <rFont val="Arial"/>
        <family val="2"/>
      </rPr>
      <t xml:space="preserve"> 13~15] · </t>
    </r>
    <r>
      <rPr>
        <sz val="11"/>
        <color rgb="FF000000"/>
        <rFont val="맑은 고딕"/>
        <family val="3"/>
        <charset val="129"/>
      </rPr>
      <t>잠재적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부채와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은닉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유인</t>
    </r>
    <r>
      <rPr>
        <sz val="11"/>
        <color rgb="FF000000"/>
        <rFont val="Arial"/>
        <family val="2"/>
      </rPr>
      <t xml:space="preserve">[Ch02 </t>
    </r>
    <r>
      <rPr>
        <sz val="11"/>
        <color rgb="FF000000"/>
        <rFont val="맑은 고딕"/>
        <family val="3"/>
        <charset val="129"/>
      </rPr>
      <t>슬라이드</t>
    </r>
    <r>
      <rPr>
        <sz val="11"/>
        <color rgb="FF000000"/>
        <rFont val="Arial"/>
        <family val="2"/>
      </rPr>
      <t xml:space="preserve"> 17~18] · 8</t>
    </r>
    <r>
      <rPr>
        <sz val="11"/>
        <color rgb="FF000000"/>
        <rFont val="맑은 고딕"/>
        <family val="3"/>
        <charset val="129"/>
      </rPr>
      <t>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보수주의와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이익적립금</t>
    </r>
    <r>
      <rPr>
        <sz val="11"/>
        <color rgb="FF000000"/>
        <rFont val="Arial"/>
        <family val="2"/>
      </rPr>
      <t>(R&amp;D·</t>
    </r>
    <r>
      <rPr>
        <sz val="11"/>
        <color rgb="FF000000"/>
        <rFont val="맑은 고딕"/>
        <family val="3"/>
        <charset val="129"/>
      </rPr>
      <t>광고비</t>
    </r>
    <r>
      <rPr>
        <sz val="11"/>
        <color rgb="FF000000"/>
        <rFont val="Arial"/>
        <family val="2"/>
      </rPr>
      <t xml:space="preserve">)[Ch08 </t>
    </r>
    <r>
      <rPr>
        <sz val="11"/>
        <color rgb="FF000000"/>
        <rFont val="맑은 고딕"/>
        <family val="3"/>
        <charset val="129"/>
      </rPr>
      <t>슬라이드</t>
    </r>
    <r>
      <rPr>
        <sz val="11"/>
        <color rgb="FF000000"/>
        <rFont val="Arial"/>
        <family val="2"/>
      </rPr>
      <t xml:space="preserve"> 10~12] · 11</t>
    </r>
    <r>
      <rPr>
        <sz val="11"/>
        <color rgb="FF000000"/>
        <rFont val="맑은 고딕"/>
        <family val="3"/>
        <charset val="129"/>
      </rPr>
      <t>장</t>
    </r>
    <r>
      <rPr>
        <sz val="11"/>
        <color rgb="FF000000"/>
        <rFont val="Arial"/>
        <family val="2"/>
      </rPr>
      <t xml:space="preserve"> RIM</t>
    </r>
    <r>
      <rPr>
        <sz val="11"/>
        <color rgb="FF000000"/>
        <rFont val="맑은 고딕"/>
        <family val="3"/>
        <charset val="129"/>
      </rPr>
      <t>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약점</t>
    </r>
    <r>
      <rPr>
        <sz val="11"/>
        <color rgb="FF000000"/>
        <rFont val="Arial"/>
        <family val="2"/>
      </rPr>
      <t>: "</t>
    </r>
    <r>
      <rPr>
        <sz val="11"/>
        <color rgb="FF000000"/>
        <rFont val="맑은 고딕"/>
        <family val="3"/>
        <charset val="129"/>
      </rPr>
      <t>장부금액이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왜곡된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기업은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출발점이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부정확</t>
    </r>
    <r>
      <rPr>
        <sz val="11"/>
        <color rgb="FF000000"/>
        <rFont val="Arial"/>
        <family val="2"/>
      </rPr>
      <t xml:space="preserve">"[Ch11 </t>
    </r>
    <r>
      <rPr>
        <sz val="11"/>
        <color rgb="FF000000"/>
        <rFont val="맑은 고딕"/>
        <family val="3"/>
        <charset val="129"/>
      </rPr>
      <t>슬라이드</t>
    </r>
    <r>
      <rPr>
        <sz val="11"/>
        <color rgb="FF000000"/>
        <rFont val="Arial"/>
        <family val="2"/>
      </rPr>
      <t xml:space="preserve"> 13]</t>
    </r>
    <phoneticPr fontId="35" type="noConversion"/>
  </si>
  <si>
    <t>실무의 M&amp;A 실사에서 잠재적 부채와 비영업자산은 '순부채·부채성 항목'과 '비영업자산' 목록으로 반영된다. 잠재적 자산(계약·기술·브랜드)은 별도로 더하지 않고 EV 산정(배수·FCF 예측)에 반영하며, 거래 후 식별가능한 무형자산으로 배분된다.</t>
    <phoneticPr fontId="35" type="noConversion"/>
  </si>
  <si>
    <r>
      <t>PBR의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정의와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1보다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이유[Ch02 슬라이드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23] · 저PBR 초과수익과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해석(위험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vs 과잉반응)[Ch02 슬라이드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24] · PBR = PER × ROE[Ch03 슬라이드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19] · ROE 정의(평균자기자본)[Ch06 슬라이드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11] · 코리아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디스카운트와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낮은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ROE[Ch06 슬라이드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20] · 11장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주당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자기자본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→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RIM·PBR[Ch11 슬라이드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5]</t>
    </r>
    <phoneticPr fontId="35" type="noConversion"/>
  </si>
  <si>
    <r>
      <t>PBR은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2장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전체의 내용을 반영하는 숫자: "분자는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시장이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가치, 분모는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회계가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적은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가치"[Ch02 슬라이드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23].</t>
    </r>
    <phoneticPr fontId="35" type="noConversion"/>
  </si>
  <si>
    <r>
      <t xml:space="preserve">&lt; </t>
    </r>
    <r>
      <rPr>
        <b/>
        <sz val="11"/>
        <color rgb="FF000000"/>
        <rFont val="Noto Sans CJK SC"/>
        <family val="2"/>
      </rPr>
      <t xml:space="preserve">유동자산 </t>
    </r>
    <r>
      <rPr>
        <b/>
        <sz val="11"/>
        <color rgb="FF000000"/>
        <rFont val="맑은 고딕"/>
        <family val="3"/>
        <charset val="129"/>
      </rPr>
      <t>&gt;</t>
    </r>
  </si>
  <si>
    <r>
      <t xml:space="preserve">&lt; </t>
    </r>
    <r>
      <rPr>
        <b/>
        <sz val="11"/>
        <color rgb="FF000000"/>
        <rFont val="Noto Sans CJK SC"/>
        <family val="2"/>
      </rPr>
      <t xml:space="preserve">비유동자산 </t>
    </r>
    <r>
      <rPr>
        <b/>
        <sz val="11"/>
        <color rgb="FF000000"/>
        <rFont val="맑은 고딕"/>
        <family val="3"/>
        <charset val="129"/>
      </rPr>
      <t>&gt;</t>
    </r>
  </si>
  <si>
    <r>
      <t xml:space="preserve">&lt; </t>
    </r>
    <r>
      <rPr>
        <b/>
        <sz val="11"/>
        <color rgb="FF000000"/>
        <rFont val="Noto Sans CJK SC"/>
        <family val="2"/>
      </rPr>
      <t xml:space="preserve">유동부채 </t>
    </r>
    <r>
      <rPr>
        <b/>
        <sz val="11"/>
        <color rgb="FF000000"/>
        <rFont val="맑은 고딕"/>
        <family val="3"/>
        <charset val="129"/>
      </rPr>
      <t>&gt;</t>
    </r>
  </si>
  <si>
    <r>
      <t xml:space="preserve">&lt; </t>
    </r>
    <r>
      <rPr>
        <b/>
        <sz val="11"/>
        <color rgb="FF000000"/>
        <rFont val="Noto Sans CJK SC"/>
        <family val="2"/>
      </rPr>
      <t xml:space="preserve">비유동부채 </t>
    </r>
    <r>
      <rPr>
        <b/>
        <sz val="11"/>
        <color rgb="FF000000"/>
        <rFont val="맑은 고딕"/>
        <family val="3"/>
        <charset val="129"/>
      </rPr>
      <t>&gt;</t>
    </r>
  </si>
  <si>
    <r>
      <t xml:space="preserve">&lt; </t>
    </r>
    <r>
      <rPr>
        <b/>
        <sz val="11"/>
        <color rgb="FF000000"/>
        <rFont val="Noto Sans CJK SC"/>
        <family val="2"/>
      </rPr>
      <t xml:space="preserve">자본 </t>
    </r>
    <r>
      <rPr>
        <b/>
        <sz val="11"/>
        <color rgb="FF000000"/>
        <rFont val="맑은 고딕"/>
        <family val="3"/>
        <charset val="129"/>
      </rPr>
      <t>&gt;</t>
    </r>
  </si>
  <si>
    <r>
      <t>(</t>
    </r>
    <r>
      <rPr>
        <b/>
        <sz val="11"/>
        <color rgb="FFC00000"/>
        <rFont val="Noto Sans CJK SC"/>
        <family val="2"/>
      </rPr>
      <t>분석적 검토</t>
    </r>
    <r>
      <rPr>
        <b/>
        <sz val="11"/>
        <color rgb="FFC00000"/>
        <rFont val="맑은 고딕"/>
        <family val="2"/>
        <charset val="1"/>
      </rPr>
      <t xml:space="preserve">) 30% </t>
    </r>
    <r>
      <rPr>
        <b/>
        <sz val="11"/>
        <color rgb="FFC00000"/>
        <rFont val="Noto Sans CJK SC"/>
        <family val="2"/>
      </rPr>
      <t>이상 변동한 계정 수</t>
    </r>
  </si>
  <si>
    <r>
      <t>6</t>
    </r>
    <r>
      <rPr>
        <b/>
        <sz val="11"/>
        <color rgb="FF000000"/>
        <rFont val="Noto Sans CJK SC"/>
        <family val="2"/>
      </rPr>
      <t>개년 자산구성 변화 추이</t>
    </r>
  </si>
  <si>
    <r>
      <t xml:space="preserve">2-1 </t>
    </r>
    <r>
      <rPr>
        <sz val="11"/>
        <color rgb="FF000000"/>
        <rFont val="Noto Sans CJK SC"/>
        <family val="2"/>
      </rPr>
      <t xml:space="preserve">시트의 분석적 검토에서 </t>
    </r>
    <r>
      <rPr>
        <sz val="11"/>
        <color rgb="FF000000"/>
        <rFont val="맑은 고딕"/>
        <family val="2"/>
        <charset val="1"/>
      </rPr>
      <t xml:space="preserve">30% </t>
    </r>
    <r>
      <rPr>
        <sz val="11"/>
        <color rgb="FF000000"/>
        <rFont val="Noto Sans CJK SC"/>
        <family val="2"/>
      </rPr>
      <t>이상 변동한 계정을 고르고</t>
    </r>
    <r>
      <rPr>
        <sz val="11"/>
        <color rgb="FF000000"/>
        <rFont val="맑은 고딕"/>
        <family val="2"/>
        <charset val="1"/>
      </rPr>
      <t xml:space="preserve">, </t>
    </r>
    <r>
      <rPr>
        <sz val="11"/>
        <color rgb="FF000000"/>
        <rFont val="Noto Sans CJK SC"/>
        <family val="2"/>
      </rPr>
      <t>사업보고서 주석에서 그 원인을 찾아 서술한다</t>
    </r>
    <r>
      <rPr>
        <sz val="11"/>
        <color rgb="FF000000"/>
        <rFont val="맑은 고딕"/>
        <family val="2"/>
        <charset val="1"/>
      </rPr>
      <t>.</t>
    </r>
  </si>
  <si>
    <r>
      <t>12</t>
    </r>
    <r>
      <rPr>
        <sz val="11"/>
        <color rgb="FF000000"/>
        <rFont val="Noto Sans CJK SC"/>
        <family val="2"/>
      </rPr>
      <t xml:space="preserve">월 말 종가 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Noto Sans CJK SC"/>
        <family val="2"/>
      </rPr>
      <t>원</t>
    </r>
    <r>
      <rPr>
        <sz val="11"/>
        <color rgb="FF000000"/>
        <rFont val="맑은 고딕"/>
        <family val="3"/>
        <charset val="129"/>
      </rPr>
      <t>)</t>
    </r>
  </si>
  <si>
    <r>
      <t xml:space="preserve">PBR (= </t>
    </r>
    <r>
      <rPr>
        <b/>
        <sz val="11"/>
        <color rgb="FF000000"/>
        <rFont val="Noto Sans CJK SC"/>
        <family val="2"/>
      </rPr>
      <t xml:space="preserve">종가 </t>
    </r>
    <r>
      <rPr>
        <b/>
        <sz val="11"/>
        <color rgb="FF000000"/>
        <rFont val="맑은 고딕"/>
        <family val="3"/>
        <charset val="129"/>
      </rPr>
      <t xml:space="preserve">÷ BPS = </t>
    </r>
    <r>
      <rPr>
        <b/>
        <sz val="11"/>
        <color rgb="FF000000"/>
        <rFont val="Noto Sans CJK SC"/>
        <family val="2"/>
      </rPr>
      <t xml:space="preserve">시가총액 </t>
    </r>
    <r>
      <rPr>
        <b/>
        <sz val="11"/>
        <color rgb="FF000000"/>
        <rFont val="맑은 고딕"/>
        <family val="3"/>
        <charset val="129"/>
      </rPr>
      <t xml:space="preserve">÷ </t>
    </r>
    <r>
      <rPr>
        <b/>
        <sz val="11"/>
        <color rgb="FF000000"/>
        <rFont val="Noto Sans CJK SC"/>
        <family val="2"/>
      </rPr>
      <t>지배지분</t>
    </r>
    <r>
      <rPr>
        <b/>
        <sz val="11"/>
        <color rgb="FF000000"/>
        <rFont val="맑은 고딕"/>
        <family val="3"/>
        <charset val="129"/>
      </rPr>
      <t>)</t>
    </r>
  </si>
  <si>
    <r>
      <t xml:space="preserve">ROE = 3-1 </t>
    </r>
    <r>
      <rPr>
        <sz val="11"/>
        <color rgb="FF808080"/>
        <rFont val="Noto Sans CJK SC"/>
        <family val="2"/>
      </rPr>
      <t xml:space="preserve">시트의 지배기업 소유주지분 순이익 </t>
    </r>
    <r>
      <rPr>
        <sz val="11"/>
        <color rgb="FF808080"/>
        <rFont val="맑은 고딕"/>
        <family val="3"/>
        <charset val="129"/>
      </rPr>
      <t>÷ (</t>
    </r>
    <r>
      <rPr>
        <sz val="11"/>
        <color rgb="FF808080"/>
        <rFont val="Noto Sans CJK SC"/>
        <family val="2"/>
      </rPr>
      <t xml:space="preserve">당기말 </t>
    </r>
    <r>
      <rPr>
        <sz val="11"/>
        <color rgb="FF808080"/>
        <rFont val="맑은 고딕"/>
        <family val="3"/>
        <charset val="129"/>
      </rPr>
      <t xml:space="preserve">+ </t>
    </r>
    <r>
      <rPr>
        <sz val="11"/>
        <color rgb="FF808080"/>
        <rFont val="Noto Sans CJK SC"/>
        <family val="2"/>
      </rPr>
      <t>전기말 지배지분</t>
    </r>
    <r>
      <rPr>
        <sz val="11"/>
        <color rgb="FF808080"/>
        <rFont val="맑은 고딕"/>
        <family val="3"/>
        <charset val="129"/>
      </rPr>
      <t>) ÷ 2. 2020</t>
    </r>
    <r>
      <rPr>
        <sz val="11"/>
        <color rgb="FF808080"/>
        <rFont val="Noto Sans CJK SC"/>
        <family val="2"/>
      </rPr>
      <t>년만 값 입력</t>
    </r>
    <r>
      <rPr>
        <sz val="11"/>
        <color rgb="FF808080"/>
        <rFont val="맑은 고딕"/>
        <family val="3"/>
        <charset val="129"/>
      </rPr>
      <t xml:space="preserve">. 6-1 </t>
    </r>
    <r>
      <rPr>
        <sz val="11"/>
        <color rgb="FF808080"/>
        <rFont val="Noto Sans CJK SC"/>
        <family val="2"/>
      </rPr>
      <t xml:space="preserve">시트의 </t>
    </r>
    <r>
      <rPr>
        <sz val="11"/>
        <color rgb="FF808080"/>
        <rFont val="맑은 고딕"/>
        <family val="3"/>
        <charset val="129"/>
      </rPr>
      <t>ROE</t>
    </r>
    <r>
      <rPr>
        <sz val="11"/>
        <color rgb="FF808080"/>
        <rFont val="Noto Sans CJK SC"/>
        <family val="2"/>
      </rPr>
      <t>는 교재 정의</t>
    </r>
    <r>
      <rPr>
        <sz val="11"/>
        <color rgb="FF808080"/>
        <rFont val="맑은 고딕"/>
        <family val="3"/>
        <charset val="129"/>
      </rPr>
      <t>(</t>
    </r>
    <r>
      <rPr>
        <sz val="11"/>
        <color rgb="FF808080"/>
        <rFont val="Noto Sans CJK SC"/>
        <family val="2"/>
      </rPr>
      <t xml:space="preserve">당기순이익 </t>
    </r>
    <r>
      <rPr>
        <sz val="11"/>
        <color rgb="FF808080"/>
        <rFont val="맑은 고딕"/>
        <family val="3"/>
        <charset val="129"/>
      </rPr>
      <t xml:space="preserve">÷ </t>
    </r>
    <r>
      <rPr>
        <sz val="11"/>
        <color rgb="FF808080"/>
        <rFont val="Noto Sans CJK SC"/>
        <family val="2"/>
      </rPr>
      <t>평균자본총계</t>
    </r>
    <r>
      <rPr>
        <sz val="11"/>
        <color rgb="FF808080"/>
        <rFont val="맑은 고딕"/>
        <family val="3"/>
        <charset val="129"/>
      </rPr>
      <t>)</t>
    </r>
    <r>
      <rPr>
        <sz val="11"/>
        <color rgb="FF808080"/>
        <rFont val="Noto Sans CJK SC"/>
        <family val="2"/>
      </rPr>
      <t>라 삼성전자에서 약간 다릅니다</t>
    </r>
    <r>
      <rPr>
        <sz val="11"/>
        <color rgb="FF808080"/>
        <rFont val="맑은 고딕"/>
        <family val="3"/>
        <charset val="129"/>
      </rPr>
      <t>.</t>
    </r>
  </si>
  <si>
    <r>
      <t xml:space="preserve">■ PBR </t>
    </r>
    <r>
      <rPr>
        <b/>
        <sz val="11"/>
        <color rgb="FF1F3864"/>
        <rFont val="Noto Sans CJK SC"/>
        <family val="2"/>
      </rPr>
      <t>추이 비교</t>
    </r>
  </si>
  <si>
    <r>
      <t>'</t>
    </r>
    <r>
      <rPr>
        <sz val="11"/>
        <color rgb="FF808080"/>
        <rFont val="Noto Sans CJK SC"/>
        <family val="2"/>
      </rPr>
      <t>시총 − 지배지분</t>
    </r>
    <r>
      <rPr>
        <sz val="11"/>
        <color rgb="FF808080"/>
        <rFont val="맑은 고딕"/>
        <family val="3"/>
        <charset val="129"/>
      </rPr>
      <t>'</t>
    </r>
    <r>
      <rPr>
        <sz val="11"/>
        <color rgb="FF808080"/>
        <rFont val="Noto Sans CJK SC"/>
        <family val="2"/>
      </rPr>
      <t>은 시장이 재무상태표 밖에서 인정</t>
    </r>
    <r>
      <rPr>
        <sz val="11"/>
        <color rgb="FF808080"/>
        <rFont val="맑은 고딕"/>
        <family val="3"/>
        <charset val="129"/>
      </rPr>
      <t>(</t>
    </r>
    <r>
      <rPr>
        <sz val="11"/>
        <color rgb="FF808080"/>
        <rFont val="Noto Sans CJK SC"/>
        <family val="2"/>
      </rPr>
      <t>또는 차감</t>
    </r>
    <r>
      <rPr>
        <sz val="11"/>
        <color rgb="FF808080"/>
        <rFont val="맑은 고딕"/>
        <family val="3"/>
        <charset val="129"/>
      </rPr>
      <t>)</t>
    </r>
    <r>
      <rPr>
        <sz val="11"/>
        <color rgb="FF808080"/>
        <rFont val="Noto Sans CJK SC"/>
        <family val="2"/>
      </rPr>
      <t>하는 금액입니다</t>
    </r>
    <r>
      <rPr>
        <sz val="11"/>
        <color rgb="FF808080"/>
        <rFont val="맑은 고딕"/>
        <family val="3"/>
        <charset val="129"/>
      </rPr>
      <t>.</t>
    </r>
  </si>
  <si>
    <r>
      <t>2</t>
    </r>
    <r>
      <rPr>
        <sz val="11"/>
        <color rgb="FF808080"/>
        <rFont val="Noto Sans CJK SC"/>
        <family val="2"/>
      </rPr>
      <t>장에서 찾아낸 잠재적 자산</t>
    </r>
    <r>
      <rPr>
        <sz val="11"/>
        <color rgb="FF808080"/>
        <rFont val="맑은 고딕"/>
        <family val="3"/>
        <charset val="129"/>
      </rPr>
      <t>·</t>
    </r>
    <r>
      <rPr>
        <sz val="11"/>
        <color rgb="FF808080"/>
        <rFont val="Noto Sans CJK SC"/>
        <family val="2"/>
      </rPr>
      <t>부채</t>
    </r>
    <r>
      <rPr>
        <sz val="11"/>
        <color rgb="FF808080"/>
        <rFont val="맑은 고딕"/>
        <family val="3"/>
        <charset val="129"/>
      </rPr>
      <t xml:space="preserve">(2-2 </t>
    </r>
    <r>
      <rPr>
        <sz val="11"/>
        <color rgb="FF808080"/>
        <rFont val="Noto Sans CJK SC"/>
        <family val="2"/>
      </rPr>
      <t xml:space="preserve">시트 </t>
    </r>
    <r>
      <rPr>
        <sz val="11"/>
        <color rgb="FF808080"/>
        <rFont val="맑은 고딕"/>
        <family val="3"/>
        <charset val="129"/>
      </rPr>
      <t>10·11</t>
    </r>
    <r>
      <rPr>
        <sz val="11"/>
        <color rgb="FF808080"/>
        <rFont val="Noto Sans CJK SC"/>
        <family val="2"/>
      </rPr>
      <t>행</t>
    </r>
    <r>
      <rPr>
        <sz val="11"/>
        <color rgb="FF808080"/>
        <rFont val="맑은 고딕"/>
        <family val="3"/>
        <charset val="129"/>
      </rPr>
      <t>)</t>
    </r>
    <r>
      <rPr>
        <sz val="11"/>
        <color rgb="FF808080"/>
        <rFont val="Noto Sans CJK SC"/>
        <family val="2"/>
      </rPr>
      <t xml:space="preserve">로 이 금액의 몇 </t>
    </r>
    <r>
      <rPr>
        <sz val="11"/>
        <color rgb="FF808080"/>
        <rFont val="맑은 고딕"/>
        <family val="3"/>
        <charset val="129"/>
      </rPr>
      <t>%</t>
    </r>
    <r>
      <rPr>
        <sz val="11"/>
        <color rgb="FF808080"/>
        <rFont val="Noto Sans CJK SC"/>
        <family val="2"/>
      </rPr>
      <t>가 설명되는지 후반부 파일의 초과이익모형 시트에서 확인합니다</t>
    </r>
    <r>
      <rPr>
        <sz val="11"/>
        <color rgb="FF808080"/>
        <rFont val="맑은 고딕"/>
        <family val="3"/>
        <charset val="129"/>
      </rPr>
      <t>.</t>
    </r>
  </si>
  <si>
    <r>
      <t>6</t>
    </r>
    <r>
      <rPr>
        <b/>
        <sz val="11"/>
        <color rgb="FF000000"/>
        <rFont val="Noto Sans CJK SC"/>
        <family val="2"/>
      </rPr>
      <t>개년 평균</t>
    </r>
  </si>
  <si>
    <r>
      <rPr>
        <b/>
        <sz val="16"/>
        <color rgb="FF1F3864"/>
        <rFont val="맑은 고딕"/>
        <family val="3"/>
        <charset val="129"/>
      </rPr>
      <t>왜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이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실습을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하는가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Noto Sans CJK SC"/>
        <family val="2"/>
        <charset val="129"/>
      </rPr>
      <t>—</t>
    </r>
    <r>
      <rPr>
        <b/>
        <sz val="16"/>
        <color rgb="FF1F3864"/>
        <rFont val="Arial"/>
        <family val="2"/>
      </rPr>
      <t xml:space="preserve">  </t>
    </r>
    <r>
      <rPr>
        <b/>
        <sz val="16"/>
        <color rgb="FF1F3864"/>
        <rFont val="맑은 고딕"/>
        <family val="3"/>
        <charset val="129"/>
      </rPr>
      <t>실습이</t>
    </r>
    <r>
      <rPr>
        <b/>
        <sz val="16"/>
        <color rgb="FF1F3864"/>
        <rFont val="Arial"/>
        <family val="2"/>
      </rPr>
      <t xml:space="preserve"> 11</t>
    </r>
    <r>
      <rPr>
        <b/>
        <sz val="16"/>
        <color rgb="FF1F3864"/>
        <rFont val="맑은 고딕"/>
        <family val="3"/>
        <charset val="129"/>
      </rPr>
      <t>장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가치평가로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이어지는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길</t>
    </r>
    <r>
      <rPr>
        <b/>
        <sz val="16"/>
        <color rgb="FF1F3864"/>
        <rFont val="Arial"/>
        <family val="2"/>
      </rPr>
      <t xml:space="preserve"> (</t>
    </r>
    <r>
      <rPr>
        <b/>
        <sz val="16"/>
        <color rgb="FF1F3864"/>
        <rFont val="맑은 고딕"/>
        <family val="3"/>
        <charset val="129"/>
      </rPr>
      <t>강의노트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슬라이드</t>
    </r>
    <r>
      <rPr>
        <b/>
        <sz val="16"/>
        <color rgb="FF1F3864"/>
        <rFont val="Arial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참조</t>
    </r>
    <r>
      <rPr>
        <b/>
        <sz val="16"/>
        <color rgb="FF1F3864"/>
        <rFont val="Arial"/>
        <family val="2"/>
      </rPr>
      <t>)</t>
    </r>
    <phoneticPr fontId="35" type="noConversion"/>
  </si>
  <si>
    <r>
      <rPr>
        <sz val="11"/>
        <color rgb="FF808080"/>
        <rFont val="맑은 고딕"/>
        <family val="3"/>
        <charset val="129"/>
      </rPr>
      <t>공통형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분석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열은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전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행에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수식이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채워져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있습니다</t>
    </r>
    <r>
      <rPr>
        <sz val="11"/>
        <color rgb="FF808080"/>
        <rFont val="Arial"/>
        <family val="2"/>
      </rPr>
      <t>(</t>
    </r>
    <r>
      <rPr>
        <sz val="11"/>
        <color rgb="FF808080"/>
        <rFont val="맑은 고딕"/>
        <family val="3"/>
        <charset val="129"/>
      </rPr>
      <t>자산총계</t>
    </r>
    <r>
      <rPr>
        <sz val="11"/>
        <color rgb="FF808080"/>
        <rFont val="Arial"/>
        <family val="2"/>
      </rPr>
      <t xml:space="preserve"> = 100%).</t>
    </r>
    <phoneticPr fontId="35" type="noConversion"/>
  </si>
  <si>
    <r>
      <rPr>
        <sz val="11"/>
        <color rgb="FF808080"/>
        <rFont val="맑은 고딕"/>
        <family val="3"/>
        <charset val="129"/>
      </rPr>
      <t>참고</t>
    </r>
    <r>
      <rPr>
        <sz val="11"/>
        <color rgb="FF808080"/>
        <rFont val="Arial"/>
        <family val="2"/>
      </rPr>
      <t xml:space="preserve">: DataGuide </t>
    </r>
    <r>
      <rPr>
        <sz val="11"/>
        <color rgb="FF808080"/>
        <rFont val="맑은 고딕"/>
        <family val="3"/>
        <charset val="129"/>
      </rPr>
      <t>연말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시가총액</t>
    </r>
    <r>
      <rPr>
        <sz val="11"/>
        <color rgb="FF808080"/>
        <rFont val="Arial"/>
        <family val="2"/>
      </rPr>
      <t>(</t>
    </r>
    <r>
      <rPr>
        <sz val="11"/>
        <color rgb="FF808080"/>
        <rFont val="맑은 고딕"/>
        <family val="3"/>
        <charset val="129"/>
      </rPr>
      <t>백만원</t>
    </r>
    <r>
      <rPr>
        <sz val="11"/>
        <color rgb="FF808080"/>
        <rFont val="Arial"/>
        <family val="2"/>
      </rPr>
      <t>)</t>
    </r>
    <r>
      <rPr>
        <sz val="11"/>
        <color rgb="FF808080"/>
        <rFont val="맑은 고딕"/>
        <family val="3"/>
        <charset val="129"/>
      </rPr>
      <t>은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자기주식을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포함한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발행주식수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기준이라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이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표의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유통주식수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기준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시총보다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큽니다.</t>
    </r>
    <phoneticPr fontId="35" type="noConversion"/>
  </si>
  <si>
    <t>(1) 대상기업 PBR이 1보다 크(작)게 유지되는 이유를 재무상태표에 없는 자산(브랜드·기술·R&amp;D 등)과 부채(우발부채·지급보증 등)의 관점에서 설명해 보세요.</t>
    <phoneticPr fontId="35" type="noConversion"/>
  </si>
  <si>
    <t>(2) 두 기업의 PBR 차이(F열)와 상대 PBR(G열)이 6년 동안 어떻게 움직였나요? 같이 움직였다면 산업(반도체 사이클 등) 요인, 따로 움직였다면 기업 고유 요인입니다.</t>
    <phoneticPr fontId="35" type="noConversion"/>
  </si>
  <si>
    <t>(3)PBR이 크게 변한 해를 고르고, 그 해의 2-1 시트 분석적 검토(30% 이상 변동 계정)와 연결되는 항목이 있는지 찾아보세요.</t>
    <phoneticPr fontId="35" type="noConversion"/>
  </si>
  <si>
    <r>
      <rPr>
        <sz val="11"/>
        <color theme="1"/>
        <rFont val="맑은 고딕"/>
        <family val="3"/>
        <charset val="129"/>
      </rPr>
      <t>공통형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결과를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근거로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서술하고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급격히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변동한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계정의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원인을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산업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요인</t>
    </r>
    <r>
      <rPr>
        <sz val="11"/>
        <color theme="1"/>
        <rFont val="Arial"/>
        <family val="2"/>
      </rPr>
      <t>·</t>
    </r>
    <r>
      <rPr>
        <sz val="11"/>
        <color theme="1"/>
        <rFont val="맑은 고딕"/>
        <family val="3"/>
        <charset val="129"/>
      </rPr>
      <t>기업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고유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요인으로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구분했다. 잠재적 자산과 부채가 기업가치에 미치는 영향을 분석했다. </t>
    </r>
    <phoneticPr fontId="35" type="noConversion"/>
  </si>
  <si>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백복현</t>
    </r>
    <r>
      <rPr>
        <sz val="9"/>
        <color rgb="FF808080"/>
        <rFont val="Arial"/>
        <family val="2"/>
      </rPr>
      <t>·</t>
    </r>
    <r>
      <rPr>
        <sz val="9"/>
        <color rgb="FF808080"/>
        <rFont val="맑은 고딕"/>
        <family val="3"/>
        <charset val="129"/>
      </rPr>
      <t>장궈화</t>
    </r>
    <r>
      <rPr>
        <sz val="9"/>
        <color rgb="FF808080"/>
        <rFont val="Arial"/>
        <family val="2"/>
      </rPr>
      <t>·</t>
    </r>
    <r>
      <rPr>
        <sz val="9"/>
        <color rgb="FF808080"/>
        <rFont val="맑은 고딕"/>
        <family val="3"/>
        <charset val="129"/>
      </rPr>
      <t>최종학</t>
    </r>
    <r>
      <rPr>
        <sz val="9"/>
        <color rgb="FF808080"/>
        <rFont val="Arial"/>
        <family val="2"/>
      </rPr>
      <t xml:space="preserve">, </t>
    </r>
    <r>
      <rPr>
        <sz val="9"/>
        <color rgb="FF808080"/>
        <rFont val="맑은 고딕"/>
        <family val="3"/>
        <charset val="129"/>
      </rPr>
      <t>『재무제표분석과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기업가치평가』</t>
    </r>
    <r>
      <rPr>
        <sz val="9"/>
        <color rgb="FF808080"/>
        <rFont val="Arial"/>
        <family val="2"/>
      </rPr>
      <t>(</t>
    </r>
    <r>
      <rPr>
        <sz val="9"/>
        <color rgb="FF808080"/>
        <rFont val="맑은 고딕"/>
        <family val="3"/>
        <charset val="129"/>
      </rPr>
      <t>박영사</t>
    </r>
    <r>
      <rPr>
        <sz val="9"/>
        <color rgb="FF808080"/>
        <rFont val="Arial"/>
        <family val="2"/>
      </rPr>
      <t xml:space="preserve">, </t>
    </r>
    <r>
      <rPr>
        <sz val="9"/>
        <color rgb="FF808080"/>
        <rFont val="맑은 고딕"/>
        <family val="3"/>
        <charset val="129"/>
      </rPr>
      <t>제</t>
    </r>
    <r>
      <rPr>
        <sz val="9"/>
        <color rgb="FF808080"/>
        <rFont val="Arial"/>
        <family val="2"/>
      </rPr>
      <t>4</t>
    </r>
    <r>
      <rPr>
        <sz val="9"/>
        <color rgb="FF808080"/>
        <rFont val="맑은 고딕"/>
        <family val="3"/>
        <charset val="129"/>
      </rPr>
      <t>판</t>
    </r>
    <r>
      <rPr>
        <sz val="9"/>
        <color rgb="FF808080"/>
        <rFont val="Arial"/>
        <family val="2"/>
      </rPr>
      <t>) 1~2</t>
    </r>
    <r>
      <rPr>
        <sz val="9"/>
        <color rgb="FF808080"/>
        <rFont val="맑은 고딕"/>
        <family val="3"/>
        <charset val="129"/>
      </rPr>
      <t>장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과제</t>
    </r>
    <r>
      <rPr>
        <sz val="9"/>
        <color rgb="FF808080"/>
        <rFont val="Arial"/>
        <family val="2"/>
      </rPr>
      <t>.</t>
    </r>
    <phoneticPr fontId="35" type="noConversion"/>
  </si>
  <si>
    <r>
      <t>[읽기] 2장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실습이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6·7·8·10·11장의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무엇에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쓰이는지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시트별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로드맵과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학기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지도. 각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항목에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강의노트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슬라이드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번호를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 xml:space="preserve">달았습니다. </t>
    </r>
    <phoneticPr fontId="35" type="noConversion"/>
  </si>
  <si>
    <r>
      <t>[3</t>
    </r>
    <r>
      <rPr>
        <sz val="11"/>
        <color rgb="FF000000"/>
        <rFont val="맑은 고딕"/>
        <family val="3"/>
        <charset val="129"/>
      </rPr>
      <t>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과제①</t>
    </r>
    <r>
      <rPr>
        <sz val="11"/>
        <color rgb="FF000000"/>
        <rFont val="Arial"/>
        <family val="2"/>
      </rPr>
      <t>] 6</t>
    </r>
    <r>
      <rPr>
        <sz val="11"/>
        <color rgb="FF000000"/>
        <rFont val="맑은 고딕"/>
        <family val="3"/>
        <charset val="129"/>
      </rPr>
      <t>개년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연결손익계산서를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입력하고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공통형</t>
    </r>
    <r>
      <rPr>
        <sz val="11"/>
        <color rgb="FF000000"/>
        <rFont val="Arial"/>
        <family val="2"/>
      </rPr>
      <t>(</t>
    </r>
    <r>
      <rPr>
        <sz val="11"/>
        <color rgb="FF000000"/>
        <rFont val="맑은 고딕"/>
        <family val="3"/>
        <charset val="129"/>
      </rPr>
      <t>매출액</t>
    </r>
    <r>
      <rPr>
        <sz val="11"/>
        <color rgb="FF000000"/>
        <rFont val="Arial"/>
        <family val="2"/>
      </rPr>
      <t xml:space="preserve"> = 100%)·</t>
    </r>
    <r>
      <rPr>
        <sz val="11"/>
        <color rgb="FF000000"/>
        <rFont val="맑은 고딕"/>
        <family val="3"/>
        <charset val="129"/>
      </rPr>
      <t>증감율을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계산합니다</t>
    </r>
    <r>
      <rPr>
        <sz val="11"/>
        <color rgb="FF000000"/>
        <rFont val="Arial"/>
        <family val="2"/>
      </rPr>
      <t xml:space="preserve">. </t>
    </r>
    <r>
      <rPr>
        <sz val="11"/>
        <color rgb="FF000000"/>
        <rFont val="맑은 고딕"/>
        <family val="3"/>
        <charset val="129"/>
      </rPr>
      <t>보조자료</t>
    </r>
    <r>
      <rPr>
        <sz val="11"/>
        <color rgb="FF000000"/>
        <rFont val="Arial"/>
        <family val="2"/>
      </rPr>
      <t>(</t>
    </r>
    <r>
      <rPr>
        <sz val="11"/>
        <color rgb="FF000000"/>
        <rFont val="맑은 고딕"/>
        <family val="3"/>
        <charset val="129"/>
      </rPr>
      <t>감가상각비</t>
    </r>
    <r>
      <rPr>
        <sz val="11"/>
        <color rgb="FF000000"/>
        <rFont val="Arial"/>
        <family val="2"/>
      </rPr>
      <t>·R&amp;D·</t>
    </r>
    <r>
      <rPr>
        <sz val="11"/>
        <color rgb="FF000000"/>
        <rFont val="맑은 고딕"/>
        <family val="3"/>
        <charset val="129"/>
      </rPr>
      <t>광고비</t>
    </r>
    <r>
      <rPr>
        <sz val="11"/>
        <color rgb="FF000000"/>
        <rFont val="Arial"/>
        <family val="2"/>
      </rPr>
      <t>·</t>
    </r>
    <r>
      <rPr>
        <sz val="11"/>
        <color rgb="FF000000"/>
        <rFont val="맑은 고딕"/>
        <family val="3"/>
        <charset val="129"/>
      </rPr>
      <t>평가손실</t>
    </r>
    <r>
      <rPr>
        <sz val="11"/>
        <color rgb="FF000000"/>
        <rFont val="Arial"/>
        <family val="2"/>
      </rPr>
      <t>·</t>
    </r>
    <r>
      <rPr>
        <sz val="11"/>
        <color rgb="FF000000"/>
        <rFont val="맑은 고딕"/>
        <family val="3"/>
        <charset val="129"/>
      </rPr>
      <t>현금흐름</t>
    </r>
    <r>
      <rPr>
        <sz val="11"/>
        <color rgb="FF000000"/>
        <rFont val="Arial"/>
        <family val="2"/>
      </rPr>
      <t>)</t>
    </r>
    <r>
      <rPr>
        <sz val="11"/>
        <color rgb="FF000000"/>
        <rFont val="맑은 고딕"/>
        <family val="3"/>
        <charset val="129"/>
      </rPr>
      <t>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다음 시간(3, 4</t>
    </r>
    <r>
      <rPr>
        <sz val="11"/>
        <color rgb="FF000000"/>
        <rFont val="맑은 고딕"/>
        <family val="3"/>
        <charset val="129"/>
      </rPr>
      <t xml:space="preserve">장)에 추가할 예정입니다. </t>
    </r>
    <phoneticPr fontId="35" type="noConversion"/>
  </si>
  <si>
    <r>
      <rPr>
        <sz val="11"/>
        <color rgb="FF808080"/>
        <rFont val="맑은 고딕"/>
        <family val="3"/>
        <charset val="129"/>
      </rPr>
      <t>가치평가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모형은</t>
    </r>
    <r>
      <rPr>
        <sz val="11"/>
        <color rgb="FF808080"/>
        <rFont val="Arial"/>
        <family val="2"/>
      </rPr>
      <t xml:space="preserve"> 11</t>
    </r>
    <r>
      <rPr>
        <sz val="11"/>
        <color rgb="FF808080"/>
        <rFont val="맑은 고딕"/>
        <family val="3"/>
        <charset val="129"/>
      </rPr>
      <t>장에서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배우지만</t>
    </r>
    <r>
      <rPr>
        <sz val="11"/>
        <color rgb="FF808080"/>
        <rFont val="Arial"/>
        <family val="2"/>
      </rPr>
      <t xml:space="preserve">, </t>
    </r>
    <r>
      <rPr>
        <sz val="11"/>
        <color rgb="FF808080"/>
        <rFont val="맑은 고딕"/>
        <family val="3"/>
        <charset val="129"/>
      </rPr>
      <t>지금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하는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재무상태표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분석이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그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모형의</t>
    </r>
    <r>
      <rPr>
        <sz val="11"/>
        <color rgb="FF808080"/>
        <rFont val="Arial"/>
        <family val="2"/>
      </rPr>
      <t xml:space="preserve"> "</t>
    </r>
    <r>
      <rPr>
        <sz val="11"/>
        <color rgb="FF808080"/>
        <rFont val="맑은 고딕"/>
        <family val="3"/>
        <charset val="129"/>
      </rPr>
      <t>출발점</t>
    </r>
    <r>
      <rPr>
        <sz val="11"/>
        <color rgb="FF808080"/>
        <rFont val="Arial"/>
        <family val="2"/>
      </rPr>
      <t>"</t>
    </r>
    <r>
      <rPr>
        <sz val="11"/>
        <color rgb="FF808080"/>
        <rFont val="맑은 고딕"/>
        <family val="2"/>
        <charset val="129"/>
      </rPr>
      <t>이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됩니다</t>
    </r>
    <r>
      <rPr>
        <sz val="11"/>
        <color rgb="FF808080"/>
        <rFont val="Arial"/>
        <family val="2"/>
      </rPr>
      <t xml:space="preserve">. </t>
    </r>
    <r>
      <rPr>
        <sz val="11"/>
        <color rgb="FF808080"/>
        <rFont val="맑은 고딕"/>
        <family val="3"/>
        <charset val="129"/>
      </rPr>
      <t>각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시트가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이후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어느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장의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무엇에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쓰이는지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미리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보여줍니다</t>
    </r>
    <r>
      <rPr>
        <sz val="11"/>
        <color rgb="FF808080"/>
        <rFont val="Arial"/>
        <family val="2"/>
      </rPr>
      <t xml:space="preserve">. [Chxx </t>
    </r>
    <r>
      <rPr>
        <sz val="11"/>
        <color rgb="FF808080"/>
        <rFont val="맑은 고딕"/>
        <family val="3"/>
        <charset val="129"/>
      </rPr>
      <t>슬라이드</t>
    </r>
    <r>
      <rPr>
        <sz val="11"/>
        <color rgb="FF808080"/>
        <rFont val="Arial"/>
        <family val="2"/>
      </rPr>
      <t xml:space="preserve"> n] </t>
    </r>
    <r>
      <rPr>
        <sz val="11"/>
        <color rgb="FF808080"/>
        <rFont val="맑은 고딕"/>
        <family val="3"/>
        <charset val="129"/>
      </rPr>
      <t>표기는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해당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장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강의노트의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슬라이드</t>
    </r>
    <r>
      <rPr>
        <sz val="11"/>
        <color rgb="FF808080"/>
        <rFont val="Arial"/>
        <family val="2"/>
      </rPr>
      <t xml:space="preserve"> </t>
    </r>
    <r>
      <rPr>
        <sz val="11"/>
        <color rgb="FF808080"/>
        <rFont val="맑은 고딕"/>
        <family val="3"/>
        <charset val="129"/>
      </rPr>
      <t>번호입니다</t>
    </r>
    <r>
      <rPr>
        <sz val="11"/>
        <color rgb="FF808080"/>
        <rFont val="Arial"/>
        <family val="2"/>
      </rPr>
      <t>.</t>
    </r>
    <phoneticPr fontId="35" type="noConversion"/>
  </si>
  <si>
    <r>
      <rPr>
        <sz val="9"/>
        <color rgb="FF808080"/>
        <rFont val="맑은 고딕"/>
        <family val="3"/>
        <charset val="129"/>
      </rPr>
      <t>단위</t>
    </r>
    <r>
      <rPr>
        <sz val="9"/>
        <color rgb="FF808080"/>
        <rFont val="Arial"/>
        <family val="2"/>
      </rPr>
      <t xml:space="preserve">: </t>
    </r>
    <r>
      <rPr>
        <sz val="9"/>
        <color rgb="FF808080"/>
        <rFont val="맑은 고딕"/>
        <family val="3"/>
        <charset val="129"/>
      </rPr>
      <t>백만원</t>
    </r>
    <r>
      <rPr>
        <sz val="9"/>
        <color rgb="FF808080"/>
        <rFont val="Arial"/>
        <family val="2"/>
      </rPr>
      <t xml:space="preserve"> (EPS</t>
    </r>
    <r>
      <rPr>
        <sz val="9"/>
        <color rgb="FF808080"/>
        <rFont val="맑은 고딕"/>
        <family val="3"/>
        <charset val="129"/>
      </rPr>
      <t>는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원</t>
    </r>
    <r>
      <rPr>
        <sz val="9"/>
        <color rgb="FF808080"/>
        <rFont val="Arial"/>
        <family val="2"/>
      </rPr>
      <t xml:space="preserve">). </t>
    </r>
    <r>
      <rPr>
        <sz val="9"/>
        <color rgb="FF808080"/>
        <rFont val="맑은 고딕"/>
        <family val="3"/>
        <charset val="129"/>
      </rPr>
      <t>사업보고서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연결손익계산서에서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옮겨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적습니다</t>
    </r>
    <r>
      <rPr>
        <sz val="9"/>
        <color rgb="FF808080"/>
        <rFont val="Arial"/>
        <family val="2"/>
      </rPr>
      <t xml:space="preserve">. </t>
    </r>
    <r>
      <rPr>
        <sz val="9"/>
        <color rgb="FF808080"/>
        <rFont val="맑은 고딕"/>
        <family val="3"/>
        <charset val="129"/>
      </rPr>
      <t>노란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칸은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학생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입력</t>
    </r>
    <r>
      <rPr>
        <sz val="9"/>
        <color rgb="FF808080"/>
        <rFont val="Arial"/>
        <family val="2"/>
      </rPr>
      <t>(</t>
    </r>
    <r>
      <rPr>
        <sz val="9"/>
        <color rgb="FF808080"/>
        <rFont val="맑은 고딕"/>
        <family val="3"/>
        <charset val="129"/>
      </rPr>
      <t>채워져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있음</t>
    </r>
    <r>
      <rPr>
        <sz val="9"/>
        <color rgb="FF808080"/>
        <rFont val="Arial"/>
        <family val="2"/>
      </rPr>
      <t xml:space="preserve">), </t>
    </r>
    <r>
      <rPr>
        <sz val="9"/>
        <color rgb="FF808080"/>
        <rFont val="맑은 고딕"/>
        <family val="3"/>
        <charset val="129"/>
      </rPr>
      <t>회색은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수식</t>
    </r>
    <r>
      <rPr>
        <sz val="9"/>
        <color rgb="FF808080"/>
        <rFont val="Arial"/>
        <family val="2"/>
      </rPr>
      <t xml:space="preserve">. </t>
    </r>
    <r>
      <rPr>
        <sz val="9"/>
        <color rgb="FF808080"/>
        <rFont val="맑은 고딕"/>
        <family val="3"/>
        <charset val="129"/>
      </rPr>
      <t>공통형은</t>
    </r>
    <r>
      <rPr>
        <sz val="9"/>
        <color rgb="FF808080"/>
        <rFont val="Arial"/>
        <family val="2"/>
      </rPr>
      <t xml:space="preserve"> </t>
    </r>
    <r>
      <rPr>
        <sz val="9"/>
        <color rgb="FF808080"/>
        <rFont val="맑은 고딕"/>
        <family val="3"/>
        <charset val="129"/>
      </rPr>
      <t>매출액</t>
    </r>
    <r>
      <rPr>
        <sz val="9"/>
        <color rgb="FF808080"/>
        <rFont val="Arial"/>
        <family val="2"/>
      </rPr>
      <t xml:space="preserve"> = 100%.</t>
    </r>
    <phoneticPr fontId="35" type="noConversion"/>
  </si>
  <si>
    <r>
      <rPr>
        <b/>
        <sz val="16"/>
        <color rgb="FF1F3864"/>
        <rFont val="맑은 고딕"/>
        <family val="3"/>
        <charset val="129"/>
      </rPr>
      <t>재무제표분석과</t>
    </r>
    <r>
      <rPr>
        <b/>
        <sz val="16"/>
        <color rgb="FF1F3864"/>
        <rFont val="Noto Sans CJK SC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기업가치평가</t>
    </r>
    <r>
      <rPr>
        <b/>
        <sz val="16"/>
        <color rgb="FF1F3864"/>
        <rFont val="Noto Sans CJK SC"/>
        <family val="2"/>
      </rPr>
      <t xml:space="preserve"> </t>
    </r>
    <r>
      <rPr>
        <b/>
        <sz val="16"/>
        <color rgb="FF1F3864"/>
        <rFont val="Noto Sans CJK SC"/>
        <family val="2"/>
        <charset val="129"/>
      </rPr>
      <t>─</t>
    </r>
    <r>
      <rPr>
        <b/>
        <sz val="16"/>
        <color rgb="FF1F3864"/>
        <rFont val="Noto Sans CJK SC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기업분석</t>
    </r>
    <r>
      <rPr>
        <b/>
        <sz val="16"/>
        <color rgb="FF1F3864"/>
        <rFont val="Noto Sans CJK SC"/>
        <family val="2"/>
      </rPr>
      <t xml:space="preserve"> </t>
    </r>
    <r>
      <rPr>
        <b/>
        <sz val="16"/>
        <color rgb="FF1F3864"/>
        <rFont val="맑은 고딕"/>
        <family val="3"/>
        <charset val="129"/>
      </rPr>
      <t>포트폴리오</t>
    </r>
    <r>
      <rPr>
        <b/>
        <sz val="16"/>
        <color rgb="FF1F3864"/>
        <rFont val="Noto Sans CJK SC"/>
        <family val="2"/>
      </rPr>
      <t xml:space="preserve"> (Chapter 1 ~ 2)</t>
    </r>
    <phoneticPr fontId="35" type="noConversion"/>
  </si>
  <si>
    <r>
      <rPr>
        <b/>
        <sz val="10"/>
        <color rgb="FFFFFFFF"/>
        <rFont val="맑은 고딕"/>
        <family val="3"/>
        <charset val="129"/>
      </rPr>
      <t>대상기업</t>
    </r>
    <r>
      <rPr>
        <b/>
        <sz val="10"/>
        <color rgb="FFFFFFFF"/>
        <rFont val="Arial"/>
        <family val="2"/>
      </rPr>
      <t xml:space="preserve"> (</t>
    </r>
    <r>
      <rPr>
        <b/>
        <sz val="10"/>
        <color rgb="FFFFFFFF"/>
        <rFont val="맑은 고딕"/>
        <family val="2"/>
        <charset val="129"/>
      </rPr>
      <t>현대건설</t>
    </r>
    <r>
      <rPr>
        <b/>
        <sz val="10"/>
        <color rgb="FFFFFFFF"/>
        <rFont val="Arial"/>
        <family val="2"/>
      </rPr>
      <t>)</t>
    </r>
    <phoneticPr fontId="35" type="noConversion"/>
  </si>
  <si>
    <r>
      <rPr>
        <b/>
        <sz val="10"/>
        <color rgb="FFFFFFFF"/>
        <rFont val="맑은 고딕"/>
        <family val="3"/>
        <charset val="129"/>
      </rPr>
      <t>비교기업</t>
    </r>
    <r>
      <rPr>
        <b/>
        <sz val="10"/>
        <color rgb="FFFFFFFF"/>
        <rFont val="Arial"/>
        <family val="2"/>
      </rPr>
      <t xml:space="preserve"> (</t>
    </r>
    <r>
      <rPr>
        <b/>
        <sz val="10"/>
        <color rgb="FFFFFFFF"/>
        <rFont val="맑은 고딕"/>
        <family val="3"/>
        <charset val="129"/>
      </rPr>
      <t>GS건설</t>
    </r>
    <r>
      <rPr>
        <b/>
        <sz val="10"/>
        <color rgb="FFFFFFFF"/>
        <rFont val="Arial"/>
        <family val="2"/>
      </rPr>
      <t>)</t>
    </r>
    <phoneticPr fontId="35" type="noConversion"/>
  </si>
  <si>
    <t>현대건설</t>
    <phoneticPr fontId="35" type="noConversion"/>
  </si>
  <si>
    <t>000720</t>
    <phoneticPr fontId="35" type="noConversion"/>
  </si>
  <si>
    <t>KOSPI</t>
    <phoneticPr fontId="35" type="noConversion"/>
  </si>
  <si>
    <t>현대자동차 (20.95%)</t>
    <phoneticPr fontId="35" type="noConversion"/>
  </si>
  <si>
    <t>이한우</t>
    <phoneticPr fontId="35" type="noConversion"/>
  </si>
  <si>
    <t>삼일회계법인</t>
    <phoneticPr fontId="35" type="noConversion"/>
  </si>
  <si>
    <t>적정</t>
    <phoneticPr fontId="35" type="noConversion"/>
  </si>
  <si>
    <t>GS건설</t>
    <phoneticPr fontId="35" type="noConversion"/>
  </si>
  <si>
    <t>006360</t>
    <phoneticPr fontId="35" type="noConversion"/>
  </si>
  <si>
    <t>주거용 건물 건설업 (F411)</t>
    <phoneticPr fontId="35" type="noConversion"/>
  </si>
  <si>
    <t>허창수 (5.95%)</t>
    <phoneticPr fontId="35" type="noConversion"/>
  </si>
  <si>
    <t>한영회계법인</t>
    <phoneticPr fontId="35" type="noConversion"/>
  </si>
  <si>
    <t>적정</t>
    <phoneticPr fontId="35" type="noConversion"/>
  </si>
  <si>
    <t>이한우</t>
    <phoneticPr fontId="35" type="noConversion"/>
  </si>
  <si>
    <t>태진</t>
    <phoneticPr fontId="35" type="noConversion"/>
  </si>
  <si>
    <r>
      <rPr>
        <sz val="11"/>
        <color rgb="FF0000FF"/>
        <rFont val="맑은 고딕"/>
        <family val="3"/>
        <charset val="129"/>
      </rPr>
      <t>종합</t>
    </r>
    <r>
      <rPr>
        <sz val="11"/>
        <color rgb="FF0000FF"/>
        <rFont val="Arial"/>
        <family val="2"/>
      </rPr>
      <t xml:space="preserve"> </t>
    </r>
    <r>
      <rPr>
        <sz val="11"/>
        <color rgb="FF0000FF"/>
        <rFont val="맑은 고딕"/>
        <family val="3"/>
        <charset val="129"/>
      </rPr>
      <t>건설업</t>
    </r>
    <r>
      <rPr>
        <sz val="11"/>
        <color rgb="FF0000FF"/>
        <rFont val="Arial"/>
        <family val="2"/>
      </rPr>
      <t xml:space="preserve"> (F410)</t>
    </r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</si>
</sst>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;\(0.0%\);\-"/>
    <numFmt numFmtId="177" formatCode="#,##0;\(#,##0\);\-"/>
    <numFmt numFmtId="178" formatCode="0.0%"/>
    <numFmt numFmtId="179" formatCode="0.0"/>
    <numFmt numFmtId="180" formatCode="\+0.0%;\(0.0%\);\-"/>
  </numFmts>
  <fonts count="82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맑은 고딕"/>
      <family val="3"/>
      <charset val="129"/>
    </font>
    <font>
      <b/>
      <sz val="16"/>
      <color rgb="FF1F3864"/>
      <name val="Noto Sans CJK SC"/>
      <family val="2"/>
      <charset val="1"/>
    </font>
    <font>
      <sz val="9"/>
      <color rgb="FF808080"/>
      <name val="Noto Sans CJK SC"/>
      <family val="2"/>
      <charset val="1"/>
    </font>
    <font>
      <b/>
      <sz val="11"/>
      <color rgb="FF1F3864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sz val="10"/>
      <color rgb="FF0000FF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</font>
    <font>
      <b/>
      <sz val="10"/>
      <color rgb="FF000000"/>
      <name val="Noto Sans CJK SC"/>
      <family val="2"/>
      <charset val="1"/>
    </font>
    <font>
      <sz val="11"/>
      <color theme="1"/>
      <name val="맑은 고딕"/>
      <family val="2"/>
      <charset val="1"/>
    </font>
    <font>
      <b/>
      <sz val="16"/>
      <color rgb="FF1F3864"/>
      <name val="맑은 고딕"/>
      <family val="3"/>
      <charset val="129"/>
    </font>
    <font>
      <b/>
      <sz val="16"/>
      <color rgb="FF1F3864"/>
      <name val="Noto Sans CJK SC"/>
      <family val="2"/>
    </font>
    <font>
      <sz val="9"/>
      <color rgb="FF808080"/>
      <name val="맑은 고딕"/>
      <family val="3"/>
      <charset val="129"/>
    </font>
    <font>
      <sz val="9"/>
      <color rgb="FF808080"/>
      <name val="Noto Sans CJK SC"/>
      <family val="2"/>
    </font>
    <font>
      <sz val="10"/>
      <color rgb="FF0000FF"/>
      <name val="맑은 고딕"/>
      <family val="3"/>
      <charset val="129"/>
    </font>
    <font>
      <sz val="9"/>
      <color rgb="FF595959"/>
      <name val="Noto Sans CJK SC"/>
      <family val="2"/>
      <charset val="1"/>
    </font>
    <font>
      <sz val="9"/>
      <color rgb="FF595959"/>
      <name val="맑은 고딕"/>
      <family val="3"/>
      <charset val="129"/>
    </font>
    <font>
      <sz val="10"/>
      <name val="Noto Sans CJK SC"/>
      <family val="2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sz val="10"/>
      <color rgb="FF000000"/>
      <name val="맑은 고딕"/>
      <family val="3"/>
      <charset val="129"/>
    </font>
    <font>
      <sz val="11"/>
      <color theme="1"/>
      <name val="Noto Sans CJK SC"/>
      <family val="2"/>
      <charset val="1"/>
    </font>
    <font>
      <b/>
      <sz val="10"/>
      <color rgb="FFFFFFFF"/>
      <name val="맑은 고딕"/>
      <family val="3"/>
      <charset val="129"/>
    </font>
    <font>
      <b/>
      <sz val="10"/>
      <color rgb="FFC00000"/>
      <name val="Noto Sans CJK SC"/>
      <family val="2"/>
      <charset val="1"/>
    </font>
    <font>
      <sz val="11"/>
      <color theme="1"/>
      <name val="Noto Sans CJK SC"/>
      <family val="2"/>
    </font>
    <font>
      <b/>
      <sz val="16"/>
      <color rgb="FF1F3864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C00000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1"/>
      <color rgb="FF1F3864"/>
      <name val="Noto Sans CJK SC"/>
      <family val="2"/>
    </font>
    <font>
      <b/>
      <sz val="10"/>
      <name val="Noto Sans CJK SC"/>
      <family val="2"/>
      <charset val="1"/>
    </font>
    <font>
      <sz val="8"/>
      <name val="돋움"/>
      <family val="3"/>
      <charset val="129"/>
    </font>
    <font>
      <sz val="9"/>
      <color rgb="FF808080"/>
      <name val="Arial"/>
      <family val="2"/>
    </font>
    <font>
      <sz val="9"/>
      <color rgb="FF808080"/>
      <name val="Noto Sans CJK SC"/>
      <family val="2"/>
      <charset val="129"/>
    </font>
    <font>
      <sz val="11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sz val="11"/>
      <color rgb="FF0000FF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C00000"/>
      <name val="Noto Sans CJK SC"/>
      <family val="2"/>
      <charset val="1"/>
    </font>
    <font>
      <b/>
      <sz val="11"/>
      <color rgb="FF000000"/>
      <name val="맑은 고딕"/>
      <family val="3"/>
      <charset val="129"/>
    </font>
    <font>
      <b/>
      <sz val="11"/>
      <color rgb="FF000000"/>
      <name val="Noto Sans CJK SC"/>
      <family val="2"/>
    </font>
    <font>
      <sz val="11"/>
      <color rgb="FF000000"/>
      <name val="맑은 고딕"/>
      <family val="3"/>
      <charset val="129"/>
    </font>
    <font>
      <sz val="11"/>
      <color rgb="FF000000"/>
      <name val="Noto Sans CJK SC"/>
      <family val="2"/>
    </font>
    <font>
      <b/>
      <sz val="11"/>
      <color rgb="FF000000"/>
      <name val="Noto Sans CJK SC"/>
      <family val="2"/>
      <charset val="1"/>
    </font>
    <font>
      <sz val="11"/>
      <color rgb="FF000000"/>
      <name val="맑은 고딕"/>
      <family val="2"/>
      <charset val="129"/>
    </font>
    <font>
      <sz val="11"/>
      <color rgb="FF000000"/>
      <name val="Arial"/>
      <family val="2"/>
    </font>
    <font>
      <sz val="11"/>
      <color rgb="FF000000"/>
      <name val="Noto Sans CJK SC"/>
      <family val="3"/>
      <charset val="129"/>
    </font>
    <font>
      <sz val="11"/>
      <color rgb="FF000000"/>
      <name val="Noto Sans CJK SC"/>
      <family val="2"/>
      <charset val="129"/>
    </font>
    <font>
      <sz val="11"/>
      <color rgb="FF808080"/>
      <name val="Noto Sans CJK SC"/>
      <family val="2"/>
      <charset val="1"/>
    </font>
    <font>
      <sz val="11"/>
      <color rgb="FF0000FF"/>
      <name val="맑은 고딕"/>
      <family val="3"/>
      <charset val="129"/>
    </font>
    <font>
      <sz val="11"/>
      <color rgb="FF808080"/>
      <name val="맑은 고딕"/>
      <family val="3"/>
      <charset val="129"/>
    </font>
    <font>
      <sz val="11"/>
      <color rgb="FF808080"/>
      <name val="Noto Sans CJK SC"/>
      <family val="2"/>
    </font>
    <font>
      <sz val="11"/>
      <color rgb="FF0000FF"/>
      <name val="Noto Sans CJK SC"/>
      <family val="2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</font>
    <font>
      <sz val="11"/>
      <color theme="1"/>
      <name val="Noto Sans CJK SC"/>
      <family val="3"/>
      <charset val="129"/>
    </font>
    <font>
      <b/>
      <sz val="11"/>
      <color rgb="FF000000"/>
      <name val="맑은 고딕"/>
      <family val="2"/>
      <charset val="1"/>
    </font>
    <font>
      <b/>
      <sz val="11"/>
      <color rgb="FF000000"/>
      <name val="Noto Sans CJK SC"/>
      <family val="3"/>
      <charset val="129"/>
    </font>
    <font>
      <sz val="9"/>
      <color rgb="FF808080"/>
      <name val="Noto Sans CJK SC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000000"/>
      <name val="Calibri"/>
      <family val="3"/>
      <charset val="161"/>
    </font>
    <font>
      <b/>
      <sz val="11"/>
      <color rgb="FFC00000"/>
      <name val="맑은 고딕"/>
      <family val="2"/>
      <charset val="1"/>
    </font>
    <font>
      <b/>
      <sz val="11"/>
      <color rgb="FFC00000"/>
      <name val="Noto Sans CJK SC"/>
      <family val="2"/>
    </font>
    <font>
      <b/>
      <sz val="11"/>
      <color rgb="FFC00000"/>
      <name val="Noto Sans CJK SC"/>
      <family val="2"/>
      <charset val="1"/>
    </font>
    <font>
      <sz val="11"/>
      <color rgb="FF000000"/>
      <name val="맑은 고딕"/>
      <family val="2"/>
      <charset val="1"/>
    </font>
    <font>
      <sz val="11"/>
      <color rgb="FFC00000"/>
      <name val="맑은 고딕"/>
      <family val="3"/>
      <charset val="129"/>
    </font>
    <font>
      <b/>
      <sz val="16"/>
      <color rgb="FF1F3864"/>
      <name val="Arial"/>
      <family val="2"/>
    </font>
    <font>
      <b/>
      <sz val="16"/>
      <color rgb="FF1F3864"/>
      <name val="Noto Sans CJK SC"/>
      <family val="2"/>
      <charset val="129"/>
    </font>
    <font>
      <b/>
      <sz val="16"/>
      <color rgb="FF1F3864"/>
      <name val="Noto Sans CJK SC"/>
      <family val="3"/>
      <charset val="129"/>
    </font>
    <font>
      <sz val="11"/>
      <color rgb="FF808080"/>
      <name val="맑은 고딕"/>
      <family val="2"/>
      <charset val="129"/>
    </font>
    <font>
      <sz val="11"/>
      <color rgb="FF808080"/>
      <name val="Arial"/>
      <family val="2"/>
    </font>
    <font>
      <sz val="11"/>
      <color rgb="FF808080"/>
      <name val="Noto Sans CJK SC"/>
      <family val="3"/>
      <charset val="129"/>
    </font>
    <font>
      <sz val="10"/>
      <name val="돋움"/>
      <family val="3"/>
      <charset val="129"/>
    </font>
    <font>
      <b/>
      <sz val="10"/>
      <color rgb="FFFFFFFF"/>
      <name val="맑은 고딕"/>
      <family val="2"/>
      <charset val="129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3"/>
      <charset val="129"/>
    </font>
    <font>
      <sz val="11"/>
      <color rgb="FF0000FF"/>
      <name val="Arial"/>
      <family val="2"/>
    </font>
    <font>
      <sz val="11"/>
      <color rgb="FF0000FF"/>
      <name val="Noto Sans CJK SC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rgb="FFBFBFBF"/>
      </left>
      <right style="thin">
        <color theme="0" tint="-0.34998626667073579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theme="0" tint="-0.34998626667073579"/>
      </top>
      <bottom/>
      <diagonal/>
    </border>
    <border>
      <left style="thin">
        <color rgb="FFBFBFBF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rgb="FFBFBFBF"/>
      </top>
      <bottom/>
      <diagonal/>
    </border>
    <border>
      <left style="thin">
        <color rgb="FFBFBFBF"/>
      </left>
      <right style="thin">
        <color theme="0" tint="-0.34998626667073579"/>
      </right>
      <top style="thin">
        <color rgb="FFBFBFBF"/>
      </top>
      <bottom/>
      <diagonal/>
    </border>
    <border>
      <left style="thin">
        <color theme="0" tint="-0.34998626667073579"/>
      </left>
      <right/>
      <top style="thin">
        <color rgb="FFBFBFBF"/>
      </top>
      <bottom style="thin">
        <color theme="0" tint="-0.34998626667073579"/>
      </bottom>
      <diagonal/>
    </border>
    <border>
      <left style="thin">
        <color rgb="FFBFBFBF"/>
      </left>
      <right/>
      <top style="thin">
        <color rgb="FFBFBFBF"/>
      </top>
      <bottom style="thin">
        <color theme="0" tint="-0.34998626667073579"/>
      </bottom>
      <diagonal/>
    </border>
    <border>
      <left style="thin">
        <color rgb="FFBFBFBF"/>
      </left>
      <right style="thin">
        <color theme="0" tint="-0.34998626667073579"/>
      </right>
      <top style="thin">
        <color rgb="FFBFBFBF"/>
      </top>
      <bottom style="thin">
        <color theme="0" tint="-0.34998626667073579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/>
    </xf>
    <xf numFmtId="0" fontId="1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top" wrapText="1"/>
    </xf>
    <xf numFmtId="0" fontId="18" fillId="3" borderId="1" xfId="0" applyFont="1" applyFill="1" applyBorder="1" applyAlignment="1">
      <alignment vertical="top" wrapText="1"/>
    </xf>
    <xf numFmtId="0" fontId="5" fillId="0" borderId="0" xfId="0" applyFont="1"/>
    <xf numFmtId="0" fontId="19" fillId="5" borderId="1" xfId="0" applyFont="1" applyFill="1" applyBorder="1"/>
    <xf numFmtId="0" fontId="20" fillId="5" borderId="1" xfId="0" applyFont="1" applyFill="1" applyBorder="1"/>
    <xf numFmtId="0" fontId="19" fillId="5" borderId="1" xfId="0" applyFont="1" applyFill="1" applyBorder="1" applyAlignment="1">
      <alignment wrapText="1"/>
    </xf>
    <xf numFmtId="0" fontId="20" fillId="5" borderId="1" xfId="0" applyFont="1" applyFill="1" applyBorder="1" applyAlignment="1">
      <alignment wrapText="1"/>
    </xf>
    <xf numFmtId="0" fontId="8" fillId="0" borderId="1" xfId="0" applyFont="1" applyBorder="1"/>
    <xf numFmtId="0" fontId="22" fillId="2" borderId="1" xfId="0" applyFont="1" applyFill="1" applyBorder="1" applyAlignment="1">
      <alignment horizontal="center" vertical="center" wrapText="1"/>
    </xf>
    <xf numFmtId="3" fontId="20" fillId="5" borderId="1" xfId="0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176" fontId="20" fillId="5" borderId="1" xfId="0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3" fontId="18" fillId="3" borderId="1" xfId="0" applyNumberFormat="1" applyFont="1" applyFill="1" applyBorder="1" applyAlignment="1">
      <alignment horizontal="center" vertical="center"/>
    </xf>
    <xf numFmtId="4" fontId="18" fillId="3" borderId="1" xfId="0" applyNumberFormat="1" applyFont="1" applyFill="1" applyBorder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/>
    </xf>
    <xf numFmtId="177" fontId="18" fillId="4" borderId="1" xfId="0" applyNumberFormat="1" applyFont="1" applyFill="1" applyBorder="1" applyAlignment="1">
      <alignment horizontal="center" vertical="center"/>
    </xf>
    <xf numFmtId="177" fontId="24" fillId="0" borderId="1" xfId="0" applyNumberFormat="1" applyFont="1" applyBorder="1" applyAlignment="1">
      <alignment horizontal="center" vertical="center"/>
    </xf>
    <xf numFmtId="178" fontId="24" fillId="0" borderId="1" xfId="0" applyNumberFormat="1" applyFont="1" applyBorder="1" applyAlignment="1">
      <alignment horizontal="center" vertical="center"/>
    </xf>
    <xf numFmtId="179" fontId="2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26" fillId="2" borderId="1" xfId="0" applyFont="1" applyFill="1" applyBorder="1" applyAlignment="1">
      <alignment horizontal="center" vertical="center" wrapText="1"/>
    </xf>
    <xf numFmtId="0" fontId="32" fillId="0" borderId="0" xfId="0" applyFont="1"/>
    <xf numFmtId="0" fontId="27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>
      <alignment vertical="center" wrapText="1"/>
    </xf>
    <xf numFmtId="177" fontId="10" fillId="5" borderId="1" xfId="0" applyNumberFormat="1" applyFont="1" applyFill="1" applyBorder="1" applyAlignment="1">
      <alignment vertical="center"/>
    </xf>
    <xf numFmtId="176" fontId="10" fillId="5" borderId="1" xfId="0" applyNumberFormat="1" applyFont="1" applyFill="1" applyBorder="1" applyAlignment="1">
      <alignment vertical="center"/>
    </xf>
    <xf numFmtId="0" fontId="8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177" fontId="30" fillId="3" borderId="1" xfId="0" applyNumberFormat="1" applyFont="1" applyFill="1" applyBorder="1" applyAlignment="1">
      <alignment vertical="center"/>
    </xf>
    <xf numFmtId="177" fontId="9" fillId="5" borderId="1" xfId="0" applyNumberFormat="1" applyFont="1" applyFill="1" applyBorder="1" applyAlignment="1">
      <alignment vertical="center"/>
    </xf>
    <xf numFmtId="3" fontId="30" fillId="3" borderId="1" xfId="0" applyNumberFormat="1" applyFont="1" applyFill="1" applyBorder="1" applyAlignment="1">
      <alignment vertical="center"/>
    </xf>
    <xf numFmtId="0" fontId="31" fillId="0" borderId="1" xfId="0" applyFont="1" applyBorder="1" applyAlignment="1">
      <alignment horizontal="center" vertical="center"/>
    </xf>
    <xf numFmtId="0" fontId="38" fillId="0" borderId="0" xfId="0" applyFont="1"/>
    <xf numFmtId="0" fontId="39" fillId="2" borderId="1" xfId="0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vertical="center"/>
    </xf>
    <xf numFmtId="0" fontId="41" fillId="0" borderId="1" xfId="0" applyFont="1" applyBorder="1" applyAlignment="1">
      <alignment vertical="center" wrapText="1"/>
    </xf>
    <xf numFmtId="0" fontId="40" fillId="4" borderId="1" xfId="0" applyFont="1" applyFill="1" applyBorder="1" applyAlignment="1">
      <alignment vertical="center"/>
    </xf>
    <xf numFmtId="0" fontId="40" fillId="5" borderId="1" xfId="0" applyFont="1" applyFill="1" applyBorder="1" applyAlignment="1">
      <alignment vertical="center"/>
    </xf>
    <xf numFmtId="0" fontId="41" fillId="0" borderId="1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0" fontId="43" fillId="6" borderId="1" xfId="0" applyFont="1" applyFill="1" applyBorder="1" applyAlignment="1">
      <alignment vertical="center"/>
    </xf>
    <xf numFmtId="0" fontId="45" fillId="0" borderId="1" xfId="0" applyFont="1" applyBorder="1" applyAlignment="1">
      <alignment vertical="center" wrapText="1"/>
    </xf>
    <xf numFmtId="0" fontId="47" fillId="6" borderId="1" xfId="0" applyFont="1" applyFill="1" applyBorder="1" applyAlignment="1">
      <alignment vertical="center"/>
    </xf>
    <xf numFmtId="0" fontId="45" fillId="0" borderId="0" xfId="0" applyFont="1" applyAlignment="1">
      <alignment horizontal="right" vertical="top"/>
    </xf>
    <xf numFmtId="0" fontId="41" fillId="0" borderId="0" xfId="0" applyFont="1" applyAlignment="1">
      <alignment vertical="top" wrapText="1"/>
    </xf>
    <xf numFmtId="0" fontId="45" fillId="0" borderId="0" xfId="0" applyFont="1" applyAlignment="1">
      <alignment vertical="top" wrapText="1"/>
    </xf>
    <xf numFmtId="0" fontId="50" fillId="0" borderId="1" xfId="0" applyFont="1" applyBorder="1" applyAlignment="1">
      <alignment vertical="center" wrapText="1"/>
    </xf>
    <xf numFmtId="0" fontId="45" fillId="0" borderId="6" xfId="0" applyFont="1" applyBorder="1" applyAlignment="1">
      <alignment vertical="center" wrapText="1"/>
    </xf>
    <xf numFmtId="0" fontId="41" fillId="0" borderId="6" xfId="0" applyFont="1" applyBorder="1" applyAlignment="1">
      <alignment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vertical="top"/>
    </xf>
    <xf numFmtId="0" fontId="40" fillId="3" borderId="1" xfId="0" applyFont="1" applyFill="1" applyBorder="1" applyAlignment="1">
      <alignment vertical="top" wrapText="1"/>
    </xf>
    <xf numFmtId="0" fontId="52" fillId="0" borderId="1" xfId="0" applyFont="1" applyBorder="1" applyAlignment="1">
      <alignment vertical="top" wrapText="1"/>
    </xf>
    <xf numFmtId="0" fontId="53" fillId="3" borderId="1" xfId="0" applyFont="1" applyFill="1" applyBorder="1" applyAlignment="1">
      <alignment vertical="top" wrapText="1"/>
    </xf>
    <xf numFmtId="0" fontId="54" fillId="0" borderId="1" xfId="0" applyFont="1" applyBorder="1" applyAlignment="1">
      <alignment vertical="top" wrapText="1"/>
    </xf>
    <xf numFmtId="3" fontId="53" fillId="3" borderId="1" xfId="0" applyNumberFormat="1" applyFont="1" applyFill="1" applyBorder="1" applyAlignment="1">
      <alignment vertical="top" wrapText="1"/>
    </xf>
    <xf numFmtId="14" fontId="53" fillId="3" borderId="1" xfId="0" applyNumberFormat="1" applyFont="1" applyFill="1" applyBorder="1" applyAlignment="1">
      <alignment vertical="top" wrapText="1"/>
    </xf>
    <xf numFmtId="0" fontId="47" fillId="6" borderId="1" xfId="0" applyFont="1" applyFill="1" applyBorder="1" applyAlignment="1">
      <alignment vertical="top" wrapText="1"/>
    </xf>
    <xf numFmtId="0" fontId="47" fillId="3" borderId="1" xfId="0" applyFont="1" applyFill="1" applyBorder="1" applyAlignment="1">
      <alignment vertical="top" wrapText="1"/>
    </xf>
    <xf numFmtId="0" fontId="60" fillId="3" borderId="1" xfId="0" applyFont="1" applyFill="1" applyBorder="1" applyAlignment="1">
      <alignment vertical="top" wrapText="1"/>
    </xf>
    <xf numFmtId="0" fontId="41" fillId="7" borderId="1" xfId="0" applyFont="1" applyFill="1" applyBorder="1" applyAlignment="1">
      <alignment vertical="top" wrapText="1"/>
    </xf>
    <xf numFmtId="0" fontId="43" fillId="6" borderId="1" xfId="0" applyFont="1" applyFill="1" applyBorder="1" applyAlignment="1">
      <alignment vertical="top" wrapText="1"/>
    </xf>
    <xf numFmtId="0" fontId="41" fillId="0" borderId="1" xfId="0" applyFont="1" applyBorder="1" applyAlignment="1">
      <alignment vertical="top" wrapText="1"/>
    </xf>
    <xf numFmtId="0" fontId="45" fillId="0" borderId="1" xfId="0" applyFont="1" applyBorder="1" applyAlignment="1">
      <alignment vertical="top" wrapText="1"/>
    </xf>
    <xf numFmtId="0" fontId="45" fillId="7" borderId="1" xfId="0" applyFont="1" applyFill="1" applyBorder="1" applyAlignment="1">
      <alignment vertical="top" wrapText="1"/>
    </xf>
    <xf numFmtId="0" fontId="63" fillId="2" borderId="1" xfId="0" applyFont="1" applyFill="1" applyBorder="1" applyAlignment="1">
      <alignment horizontal="center" vertical="center" wrapText="1"/>
    </xf>
    <xf numFmtId="0" fontId="50" fillId="7" borderId="1" xfId="0" applyFont="1" applyFill="1" applyBorder="1" applyAlignment="1">
      <alignment vertical="top" wrapText="1"/>
    </xf>
    <xf numFmtId="0" fontId="50" fillId="0" borderId="1" xfId="0" applyFont="1" applyBorder="1" applyAlignment="1">
      <alignment vertical="top" wrapText="1"/>
    </xf>
    <xf numFmtId="0" fontId="63" fillId="2" borderId="1" xfId="0" applyFont="1" applyFill="1" applyBorder="1" applyAlignment="1">
      <alignment horizontal="center" vertical="center"/>
    </xf>
    <xf numFmtId="0" fontId="45" fillId="6" borderId="1" xfId="0" applyFont="1" applyFill="1" applyBorder="1" applyAlignment="1">
      <alignment vertical="center"/>
    </xf>
    <xf numFmtId="0" fontId="52" fillId="0" borderId="0" xfId="0" applyFont="1"/>
    <xf numFmtId="177" fontId="53" fillId="3" borderId="1" xfId="0" applyNumberFormat="1" applyFont="1" applyFill="1" applyBorder="1" applyAlignment="1">
      <alignment horizontal="center" vertical="center"/>
    </xf>
    <xf numFmtId="176" fontId="45" fillId="5" borderId="1" xfId="0" applyNumberFormat="1" applyFont="1" applyFill="1" applyBorder="1" applyAlignment="1">
      <alignment horizontal="center" vertical="center"/>
    </xf>
    <xf numFmtId="180" fontId="45" fillId="5" borderId="1" xfId="0" applyNumberFormat="1" applyFont="1" applyFill="1" applyBorder="1" applyAlignment="1">
      <alignment horizontal="center" vertical="center"/>
    </xf>
    <xf numFmtId="0" fontId="47" fillId="0" borderId="1" xfId="0" applyFont="1" applyBorder="1" applyAlignment="1">
      <alignment vertical="center"/>
    </xf>
    <xf numFmtId="177" fontId="43" fillId="0" borderId="1" xfId="0" applyNumberFormat="1" applyFont="1" applyBorder="1" applyAlignment="1">
      <alignment horizontal="center" vertical="center"/>
    </xf>
    <xf numFmtId="176" fontId="43" fillId="5" borderId="1" xfId="0" applyNumberFormat="1" applyFont="1" applyFill="1" applyBorder="1" applyAlignment="1">
      <alignment horizontal="center" vertical="center"/>
    </xf>
    <xf numFmtId="180" fontId="45" fillId="0" borderId="1" xfId="0" applyNumberFormat="1" applyFont="1" applyBorder="1" applyAlignment="1">
      <alignment horizontal="center" vertical="center"/>
    </xf>
    <xf numFmtId="0" fontId="65" fillId="0" borderId="1" xfId="0" applyFont="1" applyBorder="1" applyAlignment="1">
      <alignment vertical="center"/>
    </xf>
    <xf numFmtId="1" fontId="65" fillId="0" borderId="1" xfId="0" applyNumberFormat="1" applyFont="1" applyBorder="1" applyAlignment="1">
      <alignment horizontal="center" vertical="center"/>
    </xf>
    <xf numFmtId="0" fontId="67" fillId="0" borderId="1" xfId="0" applyFont="1" applyBorder="1" applyAlignment="1">
      <alignment vertical="center"/>
    </xf>
    <xf numFmtId="0" fontId="65" fillId="0" borderId="1" xfId="0" applyFont="1" applyBorder="1" applyAlignment="1">
      <alignment horizontal="center" vertical="center"/>
    </xf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47" fillId="6" borderId="1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vertical="center" wrapText="1"/>
    </xf>
    <xf numFmtId="0" fontId="32" fillId="3" borderId="1" xfId="0" applyFont="1" applyFill="1" applyBorder="1" applyAlignment="1">
      <alignment vertical="center" wrapText="1"/>
    </xf>
    <xf numFmtId="0" fontId="43" fillId="6" borderId="1" xfId="0" applyFont="1" applyFill="1" applyBorder="1" applyAlignment="1">
      <alignment horizontal="center" vertical="center" wrapText="1"/>
    </xf>
    <xf numFmtId="0" fontId="40" fillId="0" borderId="0" xfId="0" applyFont="1"/>
    <xf numFmtId="0" fontId="41" fillId="6" borderId="1" xfId="0" applyFont="1" applyFill="1" applyBorder="1"/>
    <xf numFmtId="177" fontId="45" fillId="5" borderId="1" xfId="0" applyNumberFormat="1" applyFont="1" applyFill="1" applyBorder="1"/>
    <xf numFmtId="0" fontId="47" fillId="6" borderId="1" xfId="0" applyFont="1" applyFill="1" applyBorder="1" applyAlignment="1">
      <alignment wrapText="1"/>
    </xf>
    <xf numFmtId="177" fontId="43" fillId="5" borderId="1" xfId="0" applyNumberFormat="1" applyFont="1" applyFill="1" applyBorder="1"/>
    <xf numFmtId="3" fontId="53" fillId="3" borderId="1" xfId="0" applyNumberFormat="1" applyFont="1" applyFill="1" applyBorder="1"/>
    <xf numFmtId="3" fontId="45" fillId="5" borderId="1" xfId="0" applyNumberFormat="1" applyFont="1" applyFill="1" applyBorder="1"/>
    <xf numFmtId="0" fontId="45" fillId="6" borderId="1" xfId="0" applyFont="1" applyFill="1" applyBorder="1"/>
    <xf numFmtId="0" fontId="41" fillId="6" borderId="1" xfId="0" applyFont="1" applyFill="1" applyBorder="1" applyAlignment="1">
      <alignment wrapText="1"/>
    </xf>
    <xf numFmtId="0" fontId="43" fillId="6" borderId="1" xfId="0" applyFont="1" applyFill="1" applyBorder="1"/>
    <xf numFmtId="2" fontId="43" fillId="5" borderId="1" xfId="0" applyNumberFormat="1" applyFont="1" applyFill="1" applyBorder="1"/>
    <xf numFmtId="178" fontId="53" fillId="3" borderId="1" xfId="0" applyNumberFormat="1" applyFont="1" applyFill="1" applyBorder="1"/>
    <xf numFmtId="178" fontId="43" fillId="5" borderId="1" xfId="0" applyNumberFormat="1" applyFont="1" applyFill="1" applyBorder="1"/>
    <xf numFmtId="0" fontId="67" fillId="0" borderId="1" xfId="0" applyFont="1" applyBorder="1"/>
    <xf numFmtId="0" fontId="69" fillId="0" borderId="1" xfId="0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2" fontId="45" fillId="5" borderId="1" xfId="0" applyNumberFormat="1" applyFont="1" applyFill="1" applyBorder="1"/>
    <xf numFmtId="0" fontId="47" fillId="6" borderId="1" xfId="0" applyFont="1" applyFill="1" applyBorder="1"/>
    <xf numFmtId="0" fontId="1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3" fillId="0" borderId="17" xfId="0" applyFont="1" applyBorder="1"/>
    <xf numFmtId="0" fontId="34" fillId="0" borderId="0" xfId="0" applyFont="1" applyAlignment="1">
      <alignment vertical="top"/>
    </xf>
    <xf numFmtId="0" fontId="53" fillId="3" borderId="1" xfId="0" quotePrefix="1" applyFont="1" applyFill="1" applyBorder="1" applyAlignment="1">
      <alignment vertical="top" wrapText="1"/>
    </xf>
    <xf numFmtId="0" fontId="81" fillId="3" borderId="1" xfId="0" applyFont="1" applyFill="1" applyBorder="1" applyAlignment="1">
      <alignment vertical="top" wrapText="1"/>
    </xf>
    <xf numFmtId="0" fontId="52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53" fillId="3" borderId="2" xfId="0" applyFont="1" applyFill="1" applyBorder="1" applyAlignment="1">
      <alignment vertical="top" wrapText="1"/>
    </xf>
    <xf numFmtId="0" fontId="40" fillId="3" borderId="2" xfId="0" applyFont="1" applyFill="1" applyBorder="1" applyAlignment="1">
      <alignment vertical="top" wrapText="1"/>
    </xf>
    <xf numFmtId="0" fontId="39" fillId="2" borderId="2" xfId="0" applyFont="1" applyFill="1" applyBorder="1" applyAlignment="1">
      <alignment horizontal="center" vertical="center" wrapText="1"/>
    </xf>
    <xf numFmtId="0" fontId="75" fillId="0" borderId="0" xfId="0" applyFont="1" applyAlignment="1">
      <alignment vertical="top" wrapText="1"/>
    </xf>
    <xf numFmtId="0" fontId="14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40" fillId="3" borderId="5" xfId="0" applyFont="1" applyFill="1" applyBorder="1" applyAlignment="1">
      <alignment vertical="top" wrapText="1"/>
    </xf>
    <xf numFmtId="0" fontId="56" fillId="3" borderId="7" xfId="0" applyFont="1" applyFill="1" applyBorder="1" applyAlignment="1">
      <alignment vertical="top" wrapText="1"/>
    </xf>
    <xf numFmtId="0" fontId="56" fillId="3" borderId="8" xfId="0" applyFont="1" applyFill="1" applyBorder="1" applyAlignment="1">
      <alignment vertical="top" wrapText="1"/>
    </xf>
    <xf numFmtId="0" fontId="56" fillId="3" borderId="9" xfId="0" applyFont="1" applyFill="1" applyBorder="1" applyAlignment="1">
      <alignment vertical="top" wrapText="1"/>
    </xf>
    <xf numFmtId="0" fontId="56" fillId="3" borderId="3" xfId="0" applyFont="1" applyFill="1" applyBorder="1" applyAlignment="1">
      <alignment vertical="top" wrapText="1"/>
    </xf>
    <xf numFmtId="0" fontId="56" fillId="3" borderId="10" xfId="0" applyFont="1" applyFill="1" applyBorder="1" applyAlignment="1">
      <alignment vertical="top" wrapText="1"/>
    </xf>
    <xf numFmtId="0" fontId="56" fillId="3" borderId="11" xfId="0" applyFont="1" applyFill="1" applyBorder="1" applyAlignment="1">
      <alignment vertical="top" wrapText="1"/>
    </xf>
    <xf numFmtId="0" fontId="56" fillId="3" borderId="12" xfId="0" applyFont="1" applyFill="1" applyBorder="1" applyAlignment="1">
      <alignment vertical="top" wrapText="1"/>
    </xf>
    <xf numFmtId="0" fontId="56" fillId="3" borderId="13" xfId="0" applyFont="1" applyFill="1" applyBorder="1" applyAlignment="1">
      <alignment vertical="top" wrapText="1"/>
    </xf>
    <xf numFmtId="0" fontId="59" fillId="0" borderId="0" xfId="0" applyFont="1" applyAlignment="1">
      <alignment wrapText="1"/>
    </xf>
    <xf numFmtId="0" fontId="18" fillId="3" borderId="3" xfId="0" applyFont="1" applyFill="1" applyBorder="1" applyAlignment="1">
      <alignment vertical="top" wrapText="1"/>
    </xf>
    <xf numFmtId="0" fontId="5" fillId="0" borderId="19" xfId="0" applyFont="1" applyBorder="1" applyAlignment="1">
      <alignment horizontal="center" wrapText="1"/>
    </xf>
    <xf numFmtId="0" fontId="61" fillId="3" borderId="5" xfId="0" applyFont="1" applyFill="1" applyBorder="1" applyAlignment="1">
      <alignment vertical="top" wrapText="1"/>
    </xf>
    <xf numFmtId="0" fontId="47" fillId="3" borderId="7" xfId="0" applyFont="1" applyFill="1" applyBorder="1" applyAlignment="1">
      <alignment vertical="top" wrapText="1"/>
    </xf>
    <xf numFmtId="0" fontId="47" fillId="3" borderId="8" xfId="0" applyFont="1" applyFill="1" applyBorder="1" applyAlignment="1">
      <alignment vertical="top" wrapText="1"/>
    </xf>
    <xf numFmtId="0" fontId="47" fillId="3" borderId="9" xfId="0" applyFont="1" applyFill="1" applyBorder="1" applyAlignment="1">
      <alignment vertical="top" wrapText="1"/>
    </xf>
    <xf numFmtId="0" fontId="47" fillId="3" borderId="3" xfId="0" applyFont="1" applyFill="1" applyBorder="1" applyAlignment="1">
      <alignment vertical="top" wrapText="1"/>
    </xf>
    <xf numFmtId="0" fontId="47" fillId="3" borderId="10" xfId="0" applyFont="1" applyFill="1" applyBorder="1" applyAlignment="1">
      <alignment vertical="top" wrapText="1"/>
    </xf>
    <xf numFmtId="0" fontId="47" fillId="3" borderId="11" xfId="0" applyFont="1" applyFill="1" applyBorder="1" applyAlignment="1">
      <alignment vertical="top" wrapText="1"/>
    </xf>
    <xf numFmtId="0" fontId="47" fillId="3" borderId="12" xfId="0" applyFont="1" applyFill="1" applyBorder="1" applyAlignment="1">
      <alignment vertical="top" wrapText="1"/>
    </xf>
    <xf numFmtId="0" fontId="47" fillId="3" borderId="13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75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vertical="top" wrapText="1"/>
    </xf>
    <xf numFmtId="0" fontId="7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1" fillId="7" borderId="1" xfId="0" applyFont="1" applyFill="1" applyBorder="1" applyAlignment="1">
      <alignment vertical="top" wrapText="1"/>
    </xf>
    <xf numFmtId="0" fontId="41" fillId="0" borderId="4" xfId="0" applyFont="1" applyBorder="1" applyAlignment="1">
      <alignment horizontal="left" vertical="center" wrapText="1"/>
    </xf>
    <xf numFmtId="0" fontId="13" fillId="0" borderId="0" xfId="0" applyFont="1" applyAlignment="1">
      <alignment wrapText="1"/>
    </xf>
    <xf numFmtId="0" fontId="68" fillId="0" borderId="4" xfId="0" applyFont="1" applyBorder="1" applyAlignment="1">
      <alignment horizontal="left" vertical="center" wrapText="1"/>
    </xf>
    <xf numFmtId="0" fontId="40" fillId="3" borderId="6" xfId="0" applyFont="1" applyFill="1" applyBorder="1" applyAlignment="1">
      <alignment vertical="top" wrapText="1"/>
    </xf>
    <xf numFmtId="0" fontId="40" fillId="0" borderId="0" xfId="0" applyFont="1" applyAlignment="1">
      <alignment vertical="top" wrapText="1"/>
    </xf>
    <xf numFmtId="0" fontId="54" fillId="0" borderId="0" xfId="0" applyFont="1" applyAlignment="1">
      <alignment wrapText="1"/>
    </xf>
    <xf numFmtId="0" fontId="52" fillId="0" borderId="0" xfId="0" applyFont="1" applyAlignment="1">
      <alignment wrapText="1"/>
    </xf>
    <xf numFmtId="0" fontId="43" fillId="6" borderId="14" xfId="0" applyFont="1" applyFill="1" applyBorder="1" applyAlignment="1">
      <alignment horizontal="left" vertical="top" wrapText="1"/>
    </xf>
    <xf numFmtId="0" fontId="43" fillId="6" borderId="15" xfId="0" applyFont="1" applyFill="1" applyBorder="1" applyAlignment="1">
      <alignment horizontal="left" vertical="top" wrapText="1"/>
    </xf>
    <xf numFmtId="0" fontId="43" fillId="6" borderId="16" xfId="0" applyFont="1" applyFill="1" applyBorder="1" applyAlignment="1">
      <alignment horizontal="left" vertical="top" wrapText="1"/>
    </xf>
    <xf numFmtId="0" fontId="43" fillId="6" borderId="18" xfId="0" applyFont="1" applyFill="1" applyBorder="1" applyAlignment="1">
      <alignment horizontal="left" vertical="top" wrapText="1"/>
    </xf>
    <xf numFmtId="0" fontId="43" fillId="6" borderId="0" xfId="0" applyFont="1" applyFill="1" applyAlignment="1">
      <alignment horizontal="left" vertical="top" wrapText="1"/>
    </xf>
    <xf numFmtId="0" fontId="43" fillId="6" borderId="19" xfId="0" applyFont="1" applyFill="1" applyBorder="1" applyAlignment="1">
      <alignment horizontal="left" vertical="top" wrapText="1"/>
    </xf>
    <xf numFmtId="0" fontId="53" fillId="3" borderId="3" xfId="0" applyFont="1" applyFill="1" applyBorder="1" applyAlignment="1">
      <alignment vertical="top" wrapText="1"/>
    </xf>
    <xf numFmtId="0" fontId="53" fillId="3" borderId="10" xfId="0" applyFont="1" applyFill="1" applyBorder="1" applyAlignment="1">
      <alignment vertical="top" wrapText="1"/>
    </xf>
    <xf numFmtId="0" fontId="53" fillId="3" borderId="5" xfId="0" applyFont="1" applyFill="1" applyBorder="1" applyAlignment="1">
      <alignment vertical="top" wrapText="1"/>
    </xf>
    <xf numFmtId="0" fontId="53" fillId="3" borderId="7" xfId="0" applyFont="1" applyFill="1" applyBorder="1" applyAlignment="1">
      <alignment vertical="top" wrapText="1"/>
    </xf>
    <xf numFmtId="0" fontId="53" fillId="3" borderId="8" xfId="0" applyFont="1" applyFill="1" applyBorder="1" applyAlignment="1">
      <alignment vertical="top" wrapText="1"/>
    </xf>
    <xf numFmtId="0" fontId="53" fillId="3" borderId="9" xfId="0" applyFont="1" applyFill="1" applyBorder="1" applyAlignment="1">
      <alignment vertical="top" wrapText="1"/>
    </xf>
    <xf numFmtId="0" fontId="53" fillId="3" borderId="11" xfId="0" applyFont="1" applyFill="1" applyBorder="1" applyAlignment="1">
      <alignment vertical="top" wrapText="1"/>
    </xf>
    <xf numFmtId="0" fontId="53" fillId="3" borderId="12" xfId="0" applyFont="1" applyFill="1" applyBorder="1" applyAlignment="1">
      <alignment vertical="top" wrapText="1"/>
    </xf>
    <xf numFmtId="0" fontId="53" fillId="3" borderId="13" xfId="0" applyFont="1" applyFill="1" applyBorder="1" applyAlignment="1">
      <alignment vertical="top" wrapText="1"/>
    </xf>
    <xf numFmtId="0" fontId="52" fillId="0" borderId="0" xfId="0" applyFont="1" applyAlignment="1">
      <alignment horizontal="left" vertical="top" wrapText="1"/>
    </xf>
    <xf numFmtId="0" fontId="54" fillId="0" borderId="0" xfId="0" applyFont="1" applyAlignment="1">
      <alignment horizontal="left" vertical="top" wrapText="1"/>
    </xf>
    <xf numFmtId="0" fontId="29" fillId="0" borderId="0" xfId="0" applyFont="1" applyAlignment="1">
      <alignment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62" fillId="0" borderId="0" xfId="0" applyFont="1" applyAlignment="1">
      <alignment vertical="center" wrapText="1"/>
    </xf>
    <xf numFmtId="0" fontId="79" fillId="2" borderId="2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top" wrapText="1"/>
    </xf>
    <xf numFmtId="0" fontId="59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</cellXfs>
  <cellStyles count="1">
    <cellStyle name="표준" xfId="0" builtinId="0"/>
  </cellStyles>
  <dxfs count="4">
    <dxf>
      <font>
        <b/>
        <color rgb="FFC00000"/>
        <name val="맑은 고딕"/>
        <charset val="1"/>
      </font>
    </dxf>
    <dxf>
      <font>
        <b/>
        <color rgb="FFC00000"/>
        <name val="맑은 고딕"/>
        <charset val="1"/>
      </font>
    </dxf>
    <dxf>
      <font>
        <b/>
        <color rgb="FFC00000"/>
        <name val="맑은 고딕"/>
        <charset val="1"/>
      </font>
    </dxf>
    <dxf>
      <font>
        <b/>
        <color rgb="FFC00000"/>
        <name val="맑은 고딕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B3B3B3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대상기업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·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비교기업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·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KOSPI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상대주가 추이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시작월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'1-3_주가추이_월별'!$J$13</c:f>
              <c:strCache>
                <c:ptCount val="1"/>
                <c:pt idx="0">
                  <c:v>대상
지수(100)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'1-3_주가추이_월별'!$C$14:$C$73</c:f>
              <c:strCache>
                <c:ptCount val="60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</c:strCache>
            </c:strRef>
          </c:cat>
          <c:val>
            <c:numRef>
              <c:f>'1-3_주가추이_월별'!$J$14:$J$73</c:f>
              <c:numCache>
                <c:formatCode>#,##0;\(#,##0\);\-</c:formatCode>
                <c:ptCount val="60"/>
                <c:pt idx="0">
                  <c:v>100</c:v>
                </c:pt>
                <c:pt idx="1">
                  <c:v>98.881987577639748</c:v>
                </c:pt>
                <c:pt idx="2" formatCode="0.0">
                  <c:v>109.44099378881988</c:v>
                </c:pt>
                <c:pt idx="3" formatCode="0.0">
                  <c:v>125.21739130434783</c:v>
                </c:pt>
                <c:pt idx="4" formatCode="0.0">
                  <c:v>142.60869565217391</c:v>
                </c:pt>
                <c:pt idx="5" formatCode="0.0">
                  <c:v>144.84472049689441</c:v>
                </c:pt>
                <c:pt idx="6" formatCode="0.0">
                  <c:v>135.90062111801242</c:v>
                </c:pt>
                <c:pt idx="7" formatCode="0.0">
                  <c:v>137.88819875776397</c:v>
                </c:pt>
                <c:pt idx="8" formatCode="0.0">
                  <c:v>127.70186335403726</c:v>
                </c:pt>
                <c:pt idx="9" formatCode="0.0">
                  <c:v>124.96894409937887</c:v>
                </c:pt>
                <c:pt idx="10" formatCode="0.0">
                  <c:v>109.81366459627328</c:v>
                </c:pt>
                <c:pt idx="11" formatCode="0.0">
                  <c:v>110.43478260869564</c:v>
                </c:pt>
                <c:pt idx="12" formatCode="0.0">
                  <c:v>104.8447204968944</c:v>
                </c:pt>
                <c:pt idx="13" formatCode="0.0">
                  <c:v>107.57763975155278</c:v>
                </c:pt>
                <c:pt idx="14" formatCode="0.0">
                  <c:v>119.00621118012421</c:v>
                </c:pt>
                <c:pt idx="15" formatCode="0.0">
                  <c:v>110.68322981366458</c:v>
                </c:pt>
                <c:pt idx="16" formatCode="0.0">
                  <c:v>107.57763975155278</c:v>
                </c:pt>
                <c:pt idx="17" formatCode="0.0">
                  <c:v>102.73291925465837</c:v>
                </c:pt>
                <c:pt idx="18" formatCode="0.0">
                  <c:v>104.72049689440993</c:v>
                </c:pt>
                <c:pt idx="19" formatCode="0.0">
                  <c:v>119.75155279503106</c:v>
                </c:pt>
                <c:pt idx="20" formatCode="0.0">
                  <c:v>93.16770186335404</c:v>
                </c:pt>
                <c:pt idx="21" formatCode="0.0">
                  <c:v>86.708074534161497</c:v>
                </c:pt>
                <c:pt idx="22" formatCode="0.0">
                  <c:v>101.8633540372671</c:v>
                </c:pt>
                <c:pt idx="23" formatCode="0.0">
                  <c:v>86.708074534161511</c:v>
                </c:pt>
                <c:pt idx="24" formatCode="0.0">
                  <c:v>94.534161490683246</c:v>
                </c:pt>
                <c:pt idx="25" formatCode="0.0">
                  <c:v>90.43478260869567</c:v>
                </c:pt>
                <c:pt idx="26" formatCode="0.0">
                  <c:v>90.559006211180147</c:v>
                </c:pt>
                <c:pt idx="27" formatCode="0.0">
                  <c:v>101.86335403726711</c:v>
                </c:pt>
                <c:pt idx="28" formatCode="0.0">
                  <c:v>95.155279503105632</c:v>
                </c:pt>
                <c:pt idx="29" formatCode="0.0">
                  <c:v>94.658385093167738</c:v>
                </c:pt>
                <c:pt idx="30" formatCode="0.0">
                  <c:v>92.919254658385128</c:v>
                </c:pt>
                <c:pt idx="31" formatCode="0.0">
                  <c:v>88.198757763975195</c:v>
                </c:pt>
                <c:pt idx="32" formatCode="0.0">
                  <c:v>90.062111801242267</c:v>
                </c:pt>
                <c:pt idx="33" formatCode="0.0">
                  <c:v>82.981366459627353</c:v>
                </c:pt>
                <c:pt idx="34" formatCode="0.0">
                  <c:v>89.068322981366492</c:v>
                </c:pt>
                <c:pt idx="35" formatCode="0.0">
                  <c:v>86.708074534161526</c:v>
                </c:pt>
                <c:pt idx="36" formatCode="0.0">
                  <c:v>86.086956521739168</c:v>
                </c:pt>
                <c:pt idx="37" formatCode="0.0">
                  <c:v>86.211180124223631</c:v>
                </c:pt>
                <c:pt idx="38" formatCode="0.0">
                  <c:v>81.987577639751578</c:v>
                </c:pt>
                <c:pt idx="39" formatCode="0.0">
                  <c:v>88.074534161490703</c:v>
                </c:pt>
                <c:pt idx="40" formatCode="0.0">
                  <c:v>82.484472049689458</c:v>
                </c:pt>
                <c:pt idx="41" formatCode="0.0">
                  <c:v>79.627329192546597</c:v>
                </c:pt>
                <c:pt idx="42" formatCode="0.0">
                  <c:v>83.105590062111801</c:v>
                </c:pt>
                <c:pt idx="43" formatCode="0.0">
                  <c:v>79.503105590062106</c:v>
                </c:pt>
                <c:pt idx="44" formatCode="0.0">
                  <c:v>75.776397515527947</c:v>
                </c:pt>
                <c:pt idx="45" formatCode="0.0">
                  <c:v>69.31677018633539</c:v>
                </c:pt>
                <c:pt idx="46" formatCode="0.0">
                  <c:v>68.198757763975138</c:v>
                </c:pt>
                <c:pt idx="47" formatCode="0.0">
                  <c:v>63.10559006211178</c:v>
                </c:pt>
                <c:pt idx="48" formatCode="0.0">
                  <c:v>77.142857142857125</c:v>
                </c:pt>
                <c:pt idx="49" formatCode="0.0">
                  <c:v>83.22981366459625</c:v>
                </c:pt>
                <c:pt idx="50" formatCode="0.0">
                  <c:v>89.316770186335376</c:v>
                </c:pt>
                <c:pt idx="51" formatCode="0.0">
                  <c:v>103.35403726708073</c:v>
                </c:pt>
                <c:pt idx="52" formatCode="0.0">
                  <c:v>158.50931677018633</c:v>
                </c:pt>
                <c:pt idx="53" formatCode="0.0">
                  <c:v>195.03105590062111</c:v>
                </c:pt>
                <c:pt idx="54" formatCode="0.0">
                  <c:v>167.70186335403727</c:v>
                </c:pt>
                <c:pt idx="55" formatCode="0.0">
                  <c:v>154.28571428571431</c:v>
                </c:pt>
                <c:pt idx="56" formatCode="0.0">
                  <c:v>135.15527950310562</c:v>
                </c:pt>
                <c:pt idx="57" formatCode="0.0">
                  <c:v>174.65838509316774</c:v>
                </c:pt>
                <c:pt idx="58" formatCode="0.0">
                  <c:v>166.45962732919259</c:v>
                </c:pt>
                <c:pt idx="59" formatCode="0.0">
                  <c:v>174.16149068322986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7F-491F-8BEC-360723537E9E}"/>
            </c:ext>
          </c:extLst>
        </c:ser>
        <c:ser>
          <c:idx val="1"/>
          <c:order val="1"/>
          <c:tx>
            <c:strRef>
              <c:f>'1-3_주가추이_월별'!$K$13</c:f>
              <c:strCache>
                <c:ptCount val="1"/>
                <c:pt idx="0">
                  <c:v>비교
지수(100)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'1-3_주가추이_월별'!$C$14:$C$73</c:f>
              <c:strCache>
                <c:ptCount val="60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</c:strCache>
            </c:strRef>
          </c:cat>
          <c:val>
            <c:numRef>
              <c:f>'1-3_주가추이_월별'!$K$14:$K$73</c:f>
              <c:numCache>
                <c:formatCode>#,##0;\(#,##0\);\-</c:formatCode>
                <c:ptCount val="60"/>
                <c:pt idx="0">
                  <c:v>100</c:v>
                </c:pt>
                <c:pt idx="1">
                  <c:v>95.281782437745747</c:v>
                </c:pt>
                <c:pt idx="2" formatCode="0.0">
                  <c:v>112.7129750982962</c:v>
                </c:pt>
                <c:pt idx="3" formatCode="0.0">
                  <c:v>115.72739187418087</c:v>
                </c:pt>
                <c:pt idx="4" formatCode="0.0">
                  <c:v>117.30013106159896</c:v>
                </c:pt>
                <c:pt idx="5" formatCode="0.0">
                  <c:v>112.45085190039319</c:v>
                </c:pt>
                <c:pt idx="6" formatCode="0.0">
                  <c:v>115.46526867627784</c:v>
                </c:pt>
                <c:pt idx="7" formatCode="0.0">
                  <c:v>117.30013106159893</c:v>
                </c:pt>
                <c:pt idx="8" formatCode="0.0">
                  <c:v>112.05766710353865</c:v>
                </c:pt>
                <c:pt idx="9" formatCode="0.0">
                  <c:v>108.38794233289646</c:v>
                </c:pt>
                <c:pt idx="10" formatCode="0.0">
                  <c:v>96.199213630406291</c:v>
                </c:pt>
                <c:pt idx="11" formatCode="0.0">
                  <c:v>103.80078636959371</c:v>
                </c:pt>
                <c:pt idx="12" formatCode="0.0">
                  <c:v>102.88335517693315</c:v>
                </c:pt>
                <c:pt idx="13" formatCode="0.0">
                  <c:v>112.31979030144167</c:v>
                </c:pt>
                <c:pt idx="14" formatCode="0.0">
                  <c:v>121.62516382699867</c:v>
                </c:pt>
                <c:pt idx="15" formatCode="0.0">
                  <c:v>110.22280471821755</c:v>
                </c:pt>
                <c:pt idx="16" formatCode="0.0">
                  <c:v>104.32503276539971</c:v>
                </c:pt>
                <c:pt idx="17" formatCode="0.0">
                  <c:v>82.699868938401025</c:v>
                </c:pt>
                <c:pt idx="18" formatCode="0.0">
                  <c:v>78.112712975098276</c:v>
                </c:pt>
                <c:pt idx="19" formatCode="0.0">
                  <c:v>79.03014416775882</c:v>
                </c:pt>
                <c:pt idx="20" formatCode="0.0">
                  <c:v>59.108781127129731</c:v>
                </c:pt>
                <c:pt idx="21" formatCode="0.0">
                  <c:v>56.880733944954109</c:v>
                </c:pt>
                <c:pt idx="22" formatCode="0.0">
                  <c:v>61.336828309305353</c:v>
                </c:pt>
                <c:pt idx="23" formatCode="0.0">
                  <c:v>55.439056356487534</c:v>
                </c:pt>
                <c:pt idx="24" formatCode="0.0">
                  <c:v>61.074705111402345</c:v>
                </c:pt>
                <c:pt idx="25" formatCode="0.0">
                  <c:v>58.322411533420691</c:v>
                </c:pt>
                <c:pt idx="26" formatCode="0.0">
                  <c:v>54.128440366972463</c:v>
                </c:pt>
                <c:pt idx="27" formatCode="0.0">
                  <c:v>56.6186107470511</c:v>
                </c:pt>
                <c:pt idx="28" formatCode="0.0">
                  <c:v>54.390563564875478</c:v>
                </c:pt>
                <c:pt idx="29" formatCode="0.0">
                  <c:v>48.859764089121875</c:v>
                </c:pt>
                <c:pt idx="30" formatCode="0.0">
                  <c:v>38.296199213630395</c:v>
                </c:pt>
                <c:pt idx="31" formatCode="0.0">
                  <c:v>38.086500655307979</c:v>
                </c:pt>
                <c:pt idx="32" formatCode="0.0">
                  <c:v>36.775884665792908</c:v>
                </c:pt>
                <c:pt idx="33" formatCode="0.0">
                  <c:v>34.495412844036686</c:v>
                </c:pt>
                <c:pt idx="34" formatCode="0.0">
                  <c:v>42.490170380078624</c:v>
                </c:pt>
                <c:pt idx="35" formatCode="0.0">
                  <c:v>39.370904325032754</c:v>
                </c:pt>
                <c:pt idx="36" formatCode="0.0">
                  <c:v>39.606815203145466</c:v>
                </c:pt>
                <c:pt idx="37" formatCode="0.0">
                  <c:v>41.808650065530792</c:v>
                </c:pt>
                <c:pt idx="38" formatCode="0.0">
                  <c:v>39.187418086500649</c:v>
                </c:pt>
                <c:pt idx="39" formatCode="0.0">
                  <c:v>43.197903014416774</c:v>
                </c:pt>
                <c:pt idx="40" formatCode="0.0">
                  <c:v>39.292267365661857</c:v>
                </c:pt>
                <c:pt idx="41" formatCode="0.0">
                  <c:v>39.397116644823058</c:v>
                </c:pt>
                <c:pt idx="42" formatCode="0.0">
                  <c:v>52.031454783748352</c:v>
                </c:pt>
                <c:pt idx="43" formatCode="0.0">
                  <c:v>53.735255570117943</c:v>
                </c:pt>
                <c:pt idx="44" formatCode="0.0">
                  <c:v>48.073394495412835</c:v>
                </c:pt>
                <c:pt idx="45" formatCode="0.0">
                  <c:v>46.579292267365652</c:v>
                </c:pt>
                <c:pt idx="46" formatCode="0.0">
                  <c:v>51.0615989515072</c:v>
                </c:pt>
                <c:pt idx="47" formatCode="0.0">
                  <c:v>45.478374836172989</c:v>
                </c:pt>
                <c:pt idx="48" formatCode="0.0">
                  <c:v>45.242463958060277</c:v>
                </c:pt>
                <c:pt idx="49" formatCode="0.0">
                  <c:v>46.055045871559628</c:v>
                </c:pt>
                <c:pt idx="50" formatCode="0.0">
                  <c:v>44.456094364351237</c:v>
                </c:pt>
                <c:pt idx="51" formatCode="0.0">
                  <c:v>47.837483617300123</c:v>
                </c:pt>
                <c:pt idx="52" formatCode="0.0">
                  <c:v>59.370904325032747</c:v>
                </c:pt>
                <c:pt idx="53" formatCode="0.0">
                  <c:v>54.390563564875478</c:v>
                </c:pt>
                <c:pt idx="54" formatCode="0.0">
                  <c:v>50.720838794233281</c:v>
                </c:pt>
                <c:pt idx="55" formatCode="0.0">
                  <c:v>48.938401048492786</c:v>
                </c:pt>
                <c:pt idx="56" formatCode="0.0">
                  <c:v>48.23066841415465</c:v>
                </c:pt>
                <c:pt idx="57" formatCode="0.0">
                  <c:v>48.990825688073393</c:v>
                </c:pt>
                <c:pt idx="58" formatCode="0.0">
                  <c:v>50.642201834862391</c:v>
                </c:pt>
                <c:pt idx="59" formatCode="0.0">
                  <c:v>51.638269986893846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7F-491F-8BEC-360723537E9E}"/>
            </c:ext>
          </c:extLst>
        </c:ser>
        <c:ser>
          <c:idx val="2"/>
          <c:order val="2"/>
          <c:tx>
            <c:strRef>
              <c:f>'1-3_주가추이_월별'!$L$13</c:f>
              <c:strCache>
                <c:ptCount val="1"/>
                <c:pt idx="0">
                  <c:v>KOSPI
지수(100)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'1-3_주가추이_월별'!$C$14:$C$73</c:f>
              <c:strCache>
                <c:ptCount val="60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</c:strCache>
            </c:strRef>
          </c:cat>
          <c:val>
            <c:numRef>
              <c:f>'1-3_주가추이_월별'!$L$14:$L$73</c:f>
              <c:numCache>
                <c:formatCode>#,##0;\(#,##0\);\-</c:formatCode>
                <c:ptCount val="60"/>
                <c:pt idx="0">
                  <c:v>100</c:v>
                </c:pt>
                <c:pt idx="1">
                  <c:v>101.23445590196927</c:v>
                </c:pt>
                <c:pt idx="2" formatCode="0.0">
                  <c:v>102.86303721847585</c:v>
                </c:pt>
                <c:pt idx="3" formatCode="0.0">
                  <c:v>105.76740216584179</c:v>
                </c:pt>
                <c:pt idx="4" formatCode="0.0">
                  <c:v>107.65100580940187</c:v>
                </c:pt>
                <c:pt idx="5" formatCode="0.0">
                  <c:v>110.76772136374781</c:v>
                </c:pt>
                <c:pt idx="6" formatCode="0.0">
                  <c:v>107.59724616206515</c:v>
                </c:pt>
                <c:pt idx="7" formatCode="0.0">
                  <c:v>107.49476683432952</c:v>
                </c:pt>
                <c:pt idx="8" formatCode="0.0">
                  <c:v>103.11167558740812</c:v>
                </c:pt>
                <c:pt idx="9" formatCode="0.0">
                  <c:v>99.814193218892441</c:v>
                </c:pt>
                <c:pt idx="10" formatCode="0.0">
                  <c:v>95.390110240876794</c:v>
                </c:pt>
                <c:pt idx="11" formatCode="0.0">
                  <c:v>100.04838368260302</c:v>
                </c:pt>
                <c:pt idx="12" formatCode="0.0">
                  <c:v>89.487636961101515</c:v>
                </c:pt>
                <c:pt idx="13" formatCode="0.0">
                  <c:v>90.691853061443894</c:v>
                </c:pt>
                <c:pt idx="14" formatCode="0.0">
                  <c:v>92.65643217380493</c:v>
                </c:pt>
                <c:pt idx="15" formatCode="0.0">
                  <c:v>90.553085971756019</c:v>
                </c:pt>
                <c:pt idx="16" formatCode="0.0">
                  <c:v>90.24564798854918</c:v>
                </c:pt>
                <c:pt idx="17" formatCode="0.0">
                  <c:v>78.376189852194557</c:v>
                </c:pt>
                <c:pt idx="18" formatCode="0.0">
                  <c:v>82.369859653720667</c:v>
                </c:pt>
                <c:pt idx="19" formatCode="0.0">
                  <c:v>83.060335124201586</c:v>
                </c:pt>
                <c:pt idx="20" formatCode="0.0">
                  <c:v>72.423988898632814</c:v>
                </c:pt>
                <c:pt idx="21" formatCode="0.0">
                  <c:v>77.064790454974613</c:v>
                </c:pt>
                <c:pt idx="22" formatCode="0.0">
                  <c:v>83.076463018402606</c:v>
                </c:pt>
                <c:pt idx="23" formatCode="0.0">
                  <c:v>75.142547064891247</c:v>
                </c:pt>
                <c:pt idx="24" formatCode="0.0">
                  <c:v>81.482153477073183</c:v>
                </c:pt>
                <c:pt idx="25" formatCode="0.0">
                  <c:v>81.071228172743176</c:v>
                </c:pt>
                <c:pt idx="26" formatCode="0.0">
                  <c:v>83.221950064007572</c:v>
                </c:pt>
                <c:pt idx="27" formatCode="0.0">
                  <c:v>84.050856626380522</c:v>
                </c:pt>
                <c:pt idx="28" formatCode="0.0">
                  <c:v>86.59066396524436</c:v>
                </c:pt>
                <c:pt idx="29" formatCode="0.0">
                  <c:v>86.159242795367248</c:v>
                </c:pt>
                <c:pt idx="30" formatCode="0.0">
                  <c:v>88.454107741053193</c:v>
                </c:pt>
                <c:pt idx="31" formatCode="0.0">
                  <c:v>85.890108560887825</c:v>
                </c:pt>
                <c:pt idx="32" formatCode="0.0">
                  <c:v>82.825808662695167</c:v>
                </c:pt>
                <c:pt idx="33" formatCode="0.0">
                  <c:v>76.539961897849935</c:v>
                </c:pt>
                <c:pt idx="34" formatCode="0.0">
                  <c:v>85.185185185185176</c:v>
                </c:pt>
                <c:pt idx="35" formatCode="0.0">
                  <c:v>89.216822737642843</c:v>
                </c:pt>
                <c:pt idx="36" formatCode="0.0">
                  <c:v>83.901673605021145</c:v>
                </c:pt>
                <c:pt idx="37" formatCode="0.0">
                  <c:v>88.782713585398866</c:v>
                </c:pt>
                <c:pt idx="38" formatCode="0.0">
                  <c:v>92.286162602773317</c:v>
                </c:pt>
                <c:pt idx="39" formatCode="0.0">
                  <c:v>90.452622630795517</c:v>
                </c:pt>
                <c:pt idx="40" formatCode="0.0">
                  <c:v>88.586490872619862</c:v>
                </c:pt>
                <c:pt idx="41" formatCode="0.0">
                  <c:v>94.006135319752289</c:v>
                </c:pt>
                <c:pt idx="42" formatCode="0.0">
                  <c:v>93.094573299599134</c:v>
                </c:pt>
                <c:pt idx="43" formatCode="0.0">
                  <c:v>89.856226543153852</c:v>
                </c:pt>
                <c:pt idx="44" formatCode="0.0">
                  <c:v>87.133300405549321</c:v>
                </c:pt>
                <c:pt idx="45" formatCode="0.0">
                  <c:v>85.88607658733757</c:v>
                </c:pt>
                <c:pt idx="46" formatCode="0.0">
                  <c:v>82.51803468169247</c:v>
                </c:pt>
                <c:pt idx="47" formatCode="0.0">
                  <c:v>80.622335117481612</c:v>
                </c:pt>
                <c:pt idx="48" formatCode="0.0">
                  <c:v>84.58307713501398</c:v>
                </c:pt>
                <c:pt idx="49" formatCode="0.0">
                  <c:v>85.100849738425723</c:v>
                </c:pt>
                <c:pt idx="50" formatCode="0.0">
                  <c:v>83.365085125041574</c:v>
                </c:pt>
                <c:pt idx="51" formatCode="0.0">
                  <c:v>85.901532485946888</c:v>
                </c:pt>
                <c:pt idx="52" formatCode="0.0">
                  <c:v>90.641117394269884</c:v>
                </c:pt>
                <c:pt idx="53" formatCode="0.0">
                  <c:v>103.20844295261421</c:v>
                </c:pt>
                <c:pt idx="54" formatCode="0.0">
                  <c:v>109.04606865778958</c:v>
                </c:pt>
                <c:pt idx="55" formatCode="0.0">
                  <c:v>107.04923375702653</c:v>
                </c:pt>
                <c:pt idx="56" formatCode="0.0">
                  <c:v>115.06580516831805</c:v>
                </c:pt>
                <c:pt idx="57" formatCode="0.0">
                  <c:v>138.01109464721907</c:v>
                </c:pt>
                <c:pt idx="58" formatCode="0.0">
                  <c:v>131.93255852241606</c:v>
                </c:pt>
                <c:pt idx="59" formatCode="0.0">
                  <c:v>141.5951831355986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7F-491F-8BEC-360723537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756933"/>
        <c:axId val="93623928"/>
      </c:lineChart>
      <c:catAx>
        <c:axId val="677569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연월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93623928"/>
        <c:crosses val="autoZero"/>
        <c:auto val="1"/>
        <c:lblAlgn val="ctr"/>
        <c:lblOffset val="100"/>
        <c:noMultiLvlLbl val="0"/>
      </c:catAx>
      <c:valAx>
        <c:axId val="936239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지수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(</a:t>
                </a: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시작월 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=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677569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PBR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추이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: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대상기업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vs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비교기업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'2-3_PBR_비교'!$D$22</c:f>
              <c:strCache>
                <c:ptCount val="1"/>
                <c:pt idx="0">
                  <c:v>대상기업 PBR</c:v>
                </c:pt>
              </c:strCache>
            </c:strRef>
          </c:tx>
          <c:spPr>
            <a:ln w="28440">
              <a:solidFill>
                <a:srgbClr val="1F3864"/>
              </a:solidFill>
              <a:round/>
            </a:ln>
          </c:spPr>
          <c:marker>
            <c:symbol val="circle"/>
            <c:size val="7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'2-3_PBR_비교'!$C$23:$C$28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'2-3_PBR_비교'!$D$23:$D$28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9-4237-8A42-C15F16716668}"/>
            </c:ext>
          </c:extLst>
        </c:ser>
        <c:ser>
          <c:idx val="1"/>
          <c:order val="1"/>
          <c:tx>
            <c:strRef>
              <c:f>'2-3_PBR_비교'!$E$22</c:f>
              <c:strCache>
                <c:ptCount val="1"/>
                <c:pt idx="0">
                  <c:v>비교기업 PBR</c:v>
                </c:pt>
              </c:strCache>
            </c:strRef>
          </c:tx>
          <c:spPr>
            <a:ln w="28440">
              <a:solidFill>
                <a:srgbClr val="C00000"/>
              </a:solidFill>
              <a:round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'2-3_PBR_비교'!$C$23:$C$28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'2-3_PBR_비교'!$E$23:$E$28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C9-4237-8A42-C15F16716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6212152"/>
        <c:axId val="38486699"/>
      </c:lineChart>
      <c:catAx>
        <c:axId val="162121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연도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38486699"/>
        <c:crosses val="autoZero"/>
        <c:auto val="1"/>
        <c:lblAlgn val="ctr"/>
        <c:lblOffset val="100"/>
        <c:noMultiLvlLbl val="0"/>
      </c:catAx>
      <c:valAx>
        <c:axId val="384866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PBR (</a:t>
                </a: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배</a:t>
                </a:r>
                <a:r>
                  <a:rPr lang="en-US" altLang="ko-KR" sz="1000" b="1" strike="noStrike" spc="-1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62121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15</xdr:row>
      <xdr:rowOff>25560</xdr:rowOff>
    </xdr:from>
    <xdr:to>
      <xdr:col>27</xdr:col>
      <xdr:colOff>76402</xdr:colOff>
      <xdr:row>32</xdr:row>
      <xdr:rowOff>19800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0</xdr:rowOff>
    </xdr:from>
    <xdr:to>
      <xdr:col>5</xdr:col>
      <xdr:colOff>418492</xdr:colOff>
      <xdr:row>45</xdr:row>
      <xdr:rowOff>36247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D34"/>
  <sheetViews>
    <sheetView showGridLines="0" zoomScaleNormal="100" workbookViewId="0">
      <selection activeCell="M6" sqref="M6"/>
    </sheetView>
  </sheetViews>
  <sheetFormatPr defaultColWidth="8.7109375" defaultRowHeight="15"/>
  <cols>
    <col min="2" max="2" width="3" customWidth="1"/>
    <col min="3" max="3" width="32.42578125" customWidth="1"/>
    <col min="4" max="4" width="102.140625" customWidth="1"/>
  </cols>
  <sheetData>
    <row r="1" spans="1:4" ht="25.5" customHeight="1">
      <c r="A1" s="1"/>
      <c r="B1" s="126" t="s">
        <v>430</v>
      </c>
      <c r="C1" s="127"/>
      <c r="D1" s="127"/>
    </row>
    <row r="2" spans="1:4" ht="36.75" customHeight="1">
      <c r="A2" s="1"/>
      <c r="B2" s="128" t="s">
        <v>425</v>
      </c>
      <c r="C2" s="128"/>
      <c r="D2" s="128"/>
    </row>
    <row r="3" spans="1:4" ht="15" customHeight="1">
      <c r="A3" s="1"/>
      <c r="B3" s="1"/>
      <c r="C3" s="38"/>
      <c r="D3" s="38"/>
    </row>
    <row r="4" spans="1:4" ht="15" customHeight="1">
      <c r="A4" s="1"/>
      <c r="B4" s="1"/>
      <c r="C4" s="2" t="s">
        <v>0</v>
      </c>
      <c r="D4" s="38"/>
    </row>
    <row r="5" spans="1:4" ht="15" customHeight="1">
      <c r="A5" s="1"/>
      <c r="B5" s="1"/>
      <c r="C5" s="39" t="s">
        <v>1</v>
      </c>
      <c r="D5" s="39" t="s">
        <v>2</v>
      </c>
    </row>
    <row r="6" spans="1:4" ht="18" customHeight="1">
      <c r="A6" s="1"/>
      <c r="B6" s="1"/>
      <c r="C6" s="40" t="s">
        <v>3</v>
      </c>
      <c r="D6" s="41" t="s">
        <v>4</v>
      </c>
    </row>
    <row r="7" spans="1:4" ht="18" customHeight="1">
      <c r="A7" s="1"/>
      <c r="B7" s="1"/>
      <c r="C7" s="42" t="s">
        <v>5</v>
      </c>
      <c r="D7" s="41" t="s">
        <v>6</v>
      </c>
    </row>
    <row r="8" spans="1:4" ht="18" customHeight="1">
      <c r="A8" s="1"/>
      <c r="B8" s="1"/>
      <c r="C8" s="43" t="s">
        <v>7</v>
      </c>
      <c r="D8" s="41" t="s">
        <v>8</v>
      </c>
    </row>
    <row r="9" spans="1:4" ht="18" customHeight="1">
      <c r="A9" s="1"/>
      <c r="B9" s="1"/>
      <c r="C9" s="44" t="s">
        <v>9</v>
      </c>
      <c r="D9" s="41" t="s">
        <v>10</v>
      </c>
    </row>
    <row r="10" spans="1:4" ht="18" customHeight="1">
      <c r="A10" s="1"/>
      <c r="B10" s="1"/>
      <c r="C10" s="45" t="s">
        <v>11</v>
      </c>
      <c r="D10" s="41" t="s">
        <v>12</v>
      </c>
    </row>
    <row r="11" spans="1:4" ht="15" customHeight="1">
      <c r="A11" s="1"/>
      <c r="B11" s="1"/>
      <c r="C11" s="38"/>
      <c r="D11" s="38"/>
    </row>
    <row r="12" spans="1:4" ht="15" customHeight="1">
      <c r="A12" s="1"/>
      <c r="B12" s="1"/>
      <c r="C12" s="2" t="s">
        <v>13</v>
      </c>
      <c r="D12" s="38"/>
    </row>
    <row r="13" spans="1:4" ht="15" customHeight="1">
      <c r="A13" s="1"/>
      <c r="B13" s="1"/>
      <c r="C13" s="39" t="s">
        <v>14</v>
      </c>
      <c r="D13" s="39" t="s">
        <v>15</v>
      </c>
    </row>
    <row r="14" spans="1:4" ht="33" customHeight="1">
      <c r="A14" s="1"/>
      <c r="B14" s="1"/>
      <c r="C14" s="46" t="s">
        <v>352</v>
      </c>
      <c r="D14" s="47" t="s">
        <v>353</v>
      </c>
    </row>
    <row r="15" spans="1:4" ht="33" customHeight="1">
      <c r="A15" s="1"/>
      <c r="B15" s="1"/>
      <c r="C15" s="46" t="s">
        <v>354</v>
      </c>
      <c r="D15" s="47" t="s">
        <v>355</v>
      </c>
    </row>
    <row r="16" spans="1:4" ht="33" customHeight="1">
      <c r="A16" s="1"/>
      <c r="B16" s="1"/>
      <c r="C16" s="46" t="s">
        <v>356</v>
      </c>
      <c r="D16" s="47" t="s">
        <v>367</v>
      </c>
    </row>
    <row r="17" spans="1:4" ht="33" customHeight="1">
      <c r="A17" s="1"/>
      <c r="B17" s="1"/>
      <c r="C17" s="46" t="s">
        <v>357</v>
      </c>
      <c r="D17" s="47" t="s">
        <v>368</v>
      </c>
    </row>
    <row r="18" spans="1:4" ht="33" customHeight="1">
      <c r="A18" s="1"/>
      <c r="B18" s="1"/>
      <c r="C18" s="46" t="s">
        <v>358</v>
      </c>
      <c r="D18" s="52" t="s">
        <v>369</v>
      </c>
    </row>
    <row r="19" spans="1:4" ht="33" customHeight="1">
      <c r="A19" s="1"/>
      <c r="B19" s="1"/>
      <c r="C19" s="46" t="s">
        <v>359</v>
      </c>
      <c r="D19" s="52" t="s">
        <v>370</v>
      </c>
    </row>
    <row r="20" spans="1:4" ht="33" customHeight="1">
      <c r="C20" s="46" t="s">
        <v>360</v>
      </c>
      <c r="D20" s="47" t="s">
        <v>426</v>
      </c>
    </row>
    <row r="21" spans="1:4" ht="33" customHeight="1">
      <c r="A21" s="1"/>
      <c r="B21" s="1"/>
      <c r="C21" s="46" t="s">
        <v>361</v>
      </c>
      <c r="D21" s="47" t="s">
        <v>362</v>
      </c>
    </row>
    <row r="22" spans="1:4" ht="33" customHeight="1">
      <c r="A22" s="1"/>
      <c r="B22" s="1"/>
      <c r="C22" s="46" t="s">
        <v>363</v>
      </c>
      <c r="D22" s="53" t="s">
        <v>364</v>
      </c>
    </row>
    <row r="23" spans="1:4" ht="33" customHeight="1">
      <c r="A23" s="1"/>
      <c r="B23" s="1"/>
      <c r="C23" s="46" t="s">
        <v>365</v>
      </c>
      <c r="D23" s="53" t="s">
        <v>371</v>
      </c>
    </row>
    <row r="24" spans="1:4" ht="45" customHeight="1">
      <c r="C24" s="48" t="s">
        <v>16</v>
      </c>
      <c r="D24" s="54" t="s">
        <v>427</v>
      </c>
    </row>
    <row r="25" spans="1:4" ht="15" customHeight="1">
      <c r="A25" s="1"/>
      <c r="B25" s="1"/>
      <c r="C25" s="48" t="s">
        <v>17</v>
      </c>
      <c r="D25" s="54" t="s">
        <v>18</v>
      </c>
    </row>
    <row r="26" spans="1:4" ht="15" customHeight="1">
      <c r="A26" s="1"/>
      <c r="B26" s="1"/>
      <c r="C26" s="38"/>
      <c r="D26" s="38"/>
    </row>
    <row r="27" spans="1:4" ht="29.25" customHeight="1">
      <c r="A27" s="1"/>
      <c r="B27" s="1"/>
      <c r="C27" s="2" t="s">
        <v>19</v>
      </c>
      <c r="D27" s="38"/>
    </row>
    <row r="28" spans="1:4" ht="19.5" customHeight="1">
      <c r="A28" s="1"/>
      <c r="B28" s="1"/>
      <c r="C28" s="49" t="s">
        <v>20</v>
      </c>
      <c r="D28" s="50" t="s">
        <v>21</v>
      </c>
    </row>
    <row r="29" spans="1:4" ht="33" customHeight="1">
      <c r="A29" s="1"/>
      <c r="B29" s="1"/>
      <c r="C29" s="49" t="s">
        <v>20</v>
      </c>
      <c r="D29" s="50" t="s">
        <v>22</v>
      </c>
    </row>
    <row r="30" spans="1:4" ht="43.5" customHeight="1">
      <c r="A30" s="1"/>
      <c r="B30" s="1"/>
      <c r="C30" s="49" t="s">
        <v>20</v>
      </c>
      <c r="D30" s="51" t="s">
        <v>366</v>
      </c>
    </row>
    <row r="31" spans="1:4" ht="36.75" customHeight="1">
      <c r="A31" s="1"/>
      <c r="B31" s="1"/>
      <c r="C31" s="49" t="s">
        <v>20</v>
      </c>
      <c r="D31" s="50" t="s">
        <v>23</v>
      </c>
    </row>
    <row r="32" spans="1:4" ht="29.25" customHeight="1">
      <c r="C32" s="49" t="s">
        <v>20</v>
      </c>
      <c r="D32" s="50" t="s">
        <v>24</v>
      </c>
    </row>
    <row r="33" spans="1:4" ht="15" customHeight="1">
      <c r="A33" s="1"/>
      <c r="B33" s="1"/>
      <c r="C33" s="38"/>
      <c r="D33" s="38"/>
    </row>
    <row r="34" spans="1:4" ht="15" customHeight="1">
      <c r="A34" s="1"/>
      <c r="B34" s="1"/>
      <c r="C34" s="38"/>
      <c r="D34" s="38"/>
    </row>
  </sheetData>
  <mergeCells count="2">
    <mergeCell ref="B1:D1"/>
    <mergeCell ref="B2:D2"/>
  </mergeCells>
  <phoneticPr fontId="3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F37"/>
  <sheetViews>
    <sheetView showGridLines="0" zoomScale="85" zoomScaleNormal="85" workbookViewId="0">
      <selection activeCell="D10" sqref="D10"/>
    </sheetView>
  </sheetViews>
  <sheetFormatPr defaultColWidth="8.7109375" defaultRowHeight="15"/>
  <cols>
    <col min="2" max="2" width="3" customWidth="1"/>
    <col min="3" max="3" width="24" customWidth="1"/>
    <col min="4" max="4" width="42.7109375" customWidth="1"/>
    <col min="5" max="5" width="46.7109375" customWidth="1"/>
    <col min="6" max="6" width="34" customWidth="1"/>
  </cols>
  <sheetData>
    <row r="1" spans="1:6" ht="25.5" customHeight="1">
      <c r="A1" s="3"/>
      <c r="B1" s="124" t="s">
        <v>25</v>
      </c>
      <c r="C1" s="124"/>
      <c r="D1" s="124"/>
      <c r="E1" s="3"/>
      <c r="F1" s="3"/>
    </row>
    <row r="2" spans="1:6" ht="15.75" customHeight="1">
      <c r="A2" s="3"/>
      <c r="B2" s="129" t="s">
        <v>26</v>
      </c>
      <c r="C2" s="129"/>
      <c r="D2" s="129"/>
      <c r="E2" s="129"/>
      <c r="F2" s="129"/>
    </row>
    <row r="3" spans="1:6" ht="15" customHeight="1">
      <c r="A3" s="3"/>
      <c r="B3" s="3"/>
      <c r="C3" s="3"/>
      <c r="D3" s="3"/>
      <c r="E3" s="3"/>
      <c r="F3" s="3"/>
    </row>
    <row r="4" spans="1:6" ht="16.5">
      <c r="A4" s="3"/>
      <c r="B4" s="3"/>
      <c r="C4" s="55" t="s">
        <v>27</v>
      </c>
      <c r="D4" s="55" t="s">
        <v>28</v>
      </c>
      <c r="E4" s="55" t="s">
        <v>29</v>
      </c>
      <c r="F4" s="55" t="s">
        <v>30</v>
      </c>
    </row>
    <row r="5" spans="1:6" ht="26.25" customHeight="1">
      <c r="A5" s="3"/>
      <c r="B5" s="3"/>
      <c r="C5" s="56" t="s">
        <v>31</v>
      </c>
      <c r="D5" s="57" t="s">
        <v>433</v>
      </c>
      <c r="E5" s="57" t="s">
        <v>440</v>
      </c>
      <c r="F5" s="58" t="s">
        <v>32</v>
      </c>
    </row>
    <row r="6" spans="1:6" ht="16.5">
      <c r="A6" s="3"/>
      <c r="B6" s="3"/>
      <c r="C6" s="56" t="s">
        <v>33</v>
      </c>
      <c r="D6" s="116" t="s">
        <v>434</v>
      </c>
      <c r="E6" s="116" t="s">
        <v>441</v>
      </c>
      <c r="F6" s="60" t="s">
        <v>372</v>
      </c>
    </row>
    <row r="7" spans="1:6" ht="16.5">
      <c r="A7" s="3"/>
      <c r="B7" s="3"/>
      <c r="C7" s="56" t="s">
        <v>34</v>
      </c>
      <c r="D7" s="59" t="s">
        <v>435</v>
      </c>
      <c r="E7" s="59" t="s">
        <v>435</v>
      </c>
      <c r="F7" s="60" t="s">
        <v>36</v>
      </c>
    </row>
    <row r="8" spans="1:6" ht="16.5">
      <c r="A8" s="3"/>
      <c r="B8" s="3"/>
      <c r="C8" s="56" t="s">
        <v>37</v>
      </c>
      <c r="D8" s="62">
        <v>31038</v>
      </c>
      <c r="E8" s="62"/>
      <c r="F8" s="58" t="s">
        <v>38</v>
      </c>
    </row>
    <row r="9" spans="1:6" ht="16.5">
      <c r="A9" s="3"/>
      <c r="B9" s="3"/>
      <c r="C9" s="56" t="s">
        <v>39</v>
      </c>
      <c r="D9" s="117" t="s">
        <v>448</v>
      </c>
      <c r="E9" s="57" t="s">
        <v>442</v>
      </c>
      <c r="F9" s="58" t="s">
        <v>40</v>
      </c>
    </row>
    <row r="10" spans="1:6" ht="44.65" customHeight="1">
      <c r="A10" s="3"/>
      <c r="B10" s="3"/>
      <c r="C10" s="56" t="s">
        <v>41</v>
      </c>
      <c r="D10" s="59"/>
      <c r="E10" s="59"/>
      <c r="F10" s="60" t="s">
        <v>373</v>
      </c>
    </row>
    <row r="11" spans="1:6" ht="16.5">
      <c r="A11" s="3"/>
      <c r="B11" s="3"/>
      <c r="C11" s="56" t="s">
        <v>42</v>
      </c>
      <c r="D11" s="59">
        <v>2025</v>
      </c>
      <c r="E11" s="59">
        <v>2025</v>
      </c>
      <c r="F11" s="58" t="s">
        <v>43</v>
      </c>
    </row>
    <row r="12" spans="1:6" ht="28.5">
      <c r="A12" s="3"/>
      <c r="B12" s="3"/>
      <c r="C12" s="56" t="s">
        <v>44</v>
      </c>
      <c r="D12" s="61">
        <v>15021800</v>
      </c>
      <c r="E12" s="61">
        <v>3294800</v>
      </c>
      <c r="F12" s="58" t="s">
        <v>45</v>
      </c>
    </row>
    <row r="13" spans="1:6" ht="28.5">
      <c r="A13" s="3"/>
      <c r="B13" s="3"/>
      <c r="C13" s="56" t="s">
        <v>46</v>
      </c>
      <c r="D13" s="61">
        <v>111356000</v>
      </c>
      <c r="E13" s="61">
        <v>85581000</v>
      </c>
      <c r="F13" s="58" t="s">
        <v>47</v>
      </c>
    </row>
    <row r="14" spans="1:6" ht="16.5">
      <c r="A14" s="3"/>
      <c r="B14" s="3"/>
      <c r="C14" s="56" t="s">
        <v>48</v>
      </c>
      <c r="D14" s="61"/>
      <c r="E14" s="61"/>
      <c r="F14" s="58" t="s">
        <v>49</v>
      </c>
    </row>
    <row r="15" spans="1:6" ht="36" customHeight="1">
      <c r="A15" s="3"/>
      <c r="B15" s="3"/>
      <c r="C15" s="56" t="s">
        <v>50</v>
      </c>
      <c r="D15" s="59" t="s">
        <v>436</v>
      </c>
      <c r="E15" s="57" t="s">
        <v>443</v>
      </c>
      <c r="F15" s="60" t="s">
        <v>374</v>
      </c>
    </row>
    <row r="16" spans="1:6" ht="31.5" customHeight="1">
      <c r="A16" s="3"/>
      <c r="B16" s="3"/>
      <c r="C16" s="56" t="s">
        <v>51</v>
      </c>
      <c r="D16" s="57" t="s">
        <v>437</v>
      </c>
      <c r="E16" s="57"/>
      <c r="F16" s="60" t="s">
        <v>375</v>
      </c>
    </row>
    <row r="17" spans="1:6" ht="16.5">
      <c r="A17" s="3"/>
      <c r="B17" s="3"/>
      <c r="C17" s="56" t="s">
        <v>52</v>
      </c>
      <c r="D17" s="57" t="s">
        <v>438</v>
      </c>
      <c r="E17" s="57" t="s">
        <v>444</v>
      </c>
      <c r="F17" s="60" t="s">
        <v>376</v>
      </c>
    </row>
    <row r="18" spans="1:6" ht="16.5">
      <c r="A18" s="3"/>
      <c r="B18" s="3"/>
      <c r="C18" s="56" t="s">
        <v>53</v>
      </c>
      <c r="D18" s="57" t="s">
        <v>439</v>
      </c>
      <c r="E18" s="57" t="s">
        <v>439</v>
      </c>
      <c r="F18" s="58" t="s">
        <v>54</v>
      </c>
    </row>
    <row r="19" spans="1:6" ht="16.5">
      <c r="A19" s="3"/>
      <c r="B19" s="3"/>
      <c r="C19" s="56" t="s">
        <v>55</v>
      </c>
      <c r="D19" s="59"/>
      <c r="E19" s="59"/>
      <c r="F19" s="60" t="s">
        <v>377</v>
      </c>
    </row>
    <row r="20" spans="1:6" ht="16.5">
      <c r="A20" s="3"/>
      <c r="B20" s="3"/>
      <c r="C20" s="56" t="s">
        <v>56</v>
      </c>
      <c r="D20" s="59"/>
      <c r="E20" s="59"/>
      <c r="F20" s="60" t="s">
        <v>57</v>
      </c>
    </row>
    <row r="21" spans="1:6" ht="15" customHeight="1">
      <c r="A21" s="3"/>
      <c r="B21" s="3"/>
      <c r="C21" s="3"/>
      <c r="D21" s="3"/>
      <c r="E21" s="3"/>
      <c r="F21" s="3"/>
    </row>
    <row r="22" spans="1:6" ht="16.5" customHeight="1">
      <c r="A22" s="3"/>
      <c r="B22" s="3"/>
      <c r="C22" s="7" t="s">
        <v>58</v>
      </c>
      <c r="D22" s="3"/>
      <c r="E22" s="3"/>
      <c r="F22" s="3"/>
    </row>
    <row r="23" spans="1:6" ht="30.75" customHeight="1">
      <c r="A23" s="3"/>
      <c r="B23" s="3"/>
      <c r="C23" s="4" t="s">
        <v>27</v>
      </c>
      <c r="D23" s="4" t="s">
        <v>28</v>
      </c>
      <c r="E23" s="4" t="s">
        <v>29</v>
      </c>
      <c r="F23" s="4"/>
    </row>
    <row r="24" spans="1:6" ht="15" customHeight="1">
      <c r="A24" s="3"/>
      <c r="B24" s="3"/>
      <c r="C24" s="8" t="s">
        <v>31</v>
      </c>
      <c r="D24" s="8" t="s">
        <v>59</v>
      </c>
      <c r="E24" s="8" t="s">
        <v>60</v>
      </c>
      <c r="F24" s="8"/>
    </row>
    <row r="25" spans="1:6" ht="15" customHeight="1">
      <c r="A25" s="3"/>
      <c r="B25" s="3"/>
      <c r="C25" s="8" t="s">
        <v>33</v>
      </c>
      <c r="D25" s="9" t="s">
        <v>61</v>
      </c>
      <c r="E25" s="9" t="s">
        <v>62</v>
      </c>
      <c r="F25" s="8"/>
    </row>
    <row r="26" spans="1:6" ht="15" customHeight="1">
      <c r="A26" s="3"/>
      <c r="B26" s="3"/>
      <c r="C26" s="8" t="s">
        <v>34</v>
      </c>
      <c r="D26" s="9" t="s">
        <v>35</v>
      </c>
      <c r="E26" s="9" t="s">
        <v>35</v>
      </c>
      <c r="F26" s="8"/>
    </row>
    <row r="27" spans="1:6" ht="27.75" customHeight="1">
      <c r="A27" s="3"/>
      <c r="B27" s="3"/>
      <c r="C27" s="8" t="s">
        <v>39</v>
      </c>
      <c r="D27" s="8" t="s">
        <v>63</v>
      </c>
      <c r="E27" s="10" t="s">
        <v>63</v>
      </c>
      <c r="F27" s="8"/>
    </row>
    <row r="28" spans="1:6" ht="27.75" customHeight="1">
      <c r="A28" s="3"/>
      <c r="B28" s="3"/>
      <c r="C28" s="8" t="s">
        <v>44</v>
      </c>
      <c r="D28" s="9" t="s">
        <v>64</v>
      </c>
      <c r="E28" s="11" t="s">
        <v>65</v>
      </c>
      <c r="F28" s="8"/>
    </row>
    <row r="29" spans="1:6" ht="15.75" customHeight="1">
      <c r="A29" s="3"/>
      <c r="B29" s="3"/>
      <c r="C29" s="125" t="s">
        <v>66</v>
      </c>
      <c r="D29" s="125"/>
      <c r="E29" s="125"/>
      <c r="F29" s="125"/>
    </row>
    <row r="30" spans="1:6" ht="15" customHeight="1">
      <c r="A30" s="3"/>
      <c r="B30" s="3"/>
      <c r="C30" s="3"/>
      <c r="D30" s="3"/>
      <c r="E30" s="3"/>
      <c r="F30" s="3"/>
    </row>
    <row r="31" spans="1:6" ht="15" customHeight="1">
      <c r="A31" s="3"/>
      <c r="B31" s="3"/>
      <c r="C31" s="3"/>
      <c r="D31" s="3"/>
      <c r="E31" s="3"/>
      <c r="F31" s="3"/>
    </row>
    <row r="32" spans="1:6" ht="18.75" customHeight="1">
      <c r="A32" s="3"/>
      <c r="B32" s="3"/>
      <c r="C32" s="119" t="s">
        <v>67</v>
      </c>
      <c r="D32" s="119"/>
      <c r="E32" s="3"/>
      <c r="F32" s="3"/>
    </row>
    <row r="33" spans="1:6" ht="14.25" customHeight="1">
      <c r="A33" s="3"/>
      <c r="B33" s="3"/>
      <c r="C33" s="130"/>
      <c r="D33" s="131"/>
      <c r="E33" s="131"/>
      <c r="F33" s="132"/>
    </row>
    <row r="34" spans="1:6" ht="15" customHeight="1">
      <c r="A34" s="3"/>
      <c r="B34" s="3"/>
      <c r="C34" s="133"/>
      <c r="D34" s="134"/>
      <c r="E34" s="134"/>
      <c r="F34" s="135"/>
    </row>
    <row r="35" spans="1:6" ht="15" customHeight="1">
      <c r="A35" s="3"/>
      <c r="B35" s="3"/>
      <c r="C35" s="133"/>
      <c r="D35" s="134"/>
      <c r="E35" s="134"/>
      <c r="F35" s="135"/>
    </row>
    <row r="36" spans="1:6" ht="15" customHeight="1">
      <c r="A36" s="3"/>
      <c r="B36" s="3"/>
      <c r="C36" s="133"/>
      <c r="D36" s="134"/>
      <c r="E36" s="134"/>
      <c r="F36" s="135"/>
    </row>
    <row r="37" spans="1:6" ht="64.5" customHeight="1">
      <c r="A37" s="3"/>
      <c r="B37" s="3"/>
      <c r="C37" s="136"/>
      <c r="D37" s="137"/>
      <c r="E37" s="137"/>
      <c r="F37" s="138"/>
    </row>
  </sheetData>
  <mergeCells count="5">
    <mergeCell ref="B1:D1"/>
    <mergeCell ref="B2:F2"/>
    <mergeCell ref="C29:F29"/>
    <mergeCell ref="C32:D32"/>
    <mergeCell ref="C33:F37"/>
  </mergeCells>
  <phoneticPr fontId="35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E23"/>
  <sheetViews>
    <sheetView showGridLines="0" topLeftCell="C1" zoomScaleNormal="100" workbookViewId="0">
      <selection activeCell="C15" sqref="C15"/>
    </sheetView>
  </sheetViews>
  <sheetFormatPr defaultColWidth="8.7109375" defaultRowHeight="15"/>
  <cols>
    <col min="2" max="2" width="3" customWidth="1"/>
    <col min="3" max="3" width="35.5703125" customWidth="1"/>
    <col min="4" max="4" width="49.42578125" customWidth="1"/>
    <col min="5" max="5" width="51.85546875" customWidth="1"/>
  </cols>
  <sheetData>
    <row r="1" spans="1:5" ht="25.5" customHeight="1">
      <c r="A1" s="3"/>
      <c r="B1" s="124" t="s">
        <v>68</v>
      </c>
      <c r="C1" s="124"/>
      <c r="D1" s="124"/>
      <c r="E1" s="3"/>
    </row>
    <row r="2" spans="1:5" ht="15.75" customHeight="1">
      <c r="A2" s="3"/>
      <c r="B2" s="125" t="s">
        <v>69</v>
      </c>
      <c r="C2" s="125"/>
      <c r="D2" s="125"/>
      <c r="E2" s="125"/>
    </row>
    <row r="3" spans="1:5" ht="15" customHeight="1">
      <c r="A3" s="3"/>
      <c r="B3" s="3"/>
      <c r="C3" s="3"/>
      <c r="D3" s="3"/>
      <c r="E3" s="3"/>
    </row>
    <row r="4" spans="1:5" ht="16.5">
      <c r="A4" s="3"/>
      <c r="B4" s="3"/>
      <c r="C4" s="55" t="s">
        <v>70</v>
      </c>
      <c r="D4" s="55" t="s">
        <v>28</v>
      </c>
      <c r="E4" s="55" t="s">
        <v>29</v>
      </c>
    </row>
    <row r="5" spans="1:5" ht="16.5">
      <c r="A5" s="3"/>
      <c r="B5" s="3"/>
      <c r="C5" s="63" t="s">
        <v>71</v>
      </c>
      <c r="D5" s="57"/>
      <c r="E5" s="57"/>
    </row>
    <row r="6" spans="1:5" ht="30">
      <c r="A6" s="3"/>
      <c r="B6" s="3"/>
      <c r="C6" s="63" t="s">
        <v>72</v>
      </c>
      <c r="D6" s="59"/>
      <c r="E6" s="59"/>
    </row>
    <row r="7" spans="1:5" ht="16.5">
      <c r="A7" s="3"/>
      <c r="B7" s="3"/>
      <c r="C7" s="63" t="s">
        <v>73</v>
      </c>
      <c r="D7" s="59"/>
      <c r="E7" s="59"/>
    </row>
    <row r="8" spans="1:5" ht="16.5">
      <c r="A8" s="3"/>
      <c r="B8" s="3"/>
      <c r="C8" s="63" t="s">
        <v>74</v>
      </c>
      <c r="D8" s="57"/>
      <c r="E8" s="59"/>
    </row>
    <row r="9" spans="1:5" ht="60" customHeight="1">
      <c r="A9" s="3"/>
      <c r="B9" s="3"/>
      <c r="C9" s="63" t="s">
        <v>75</v>
      </c>
      <c r="D9" s="59"/>
      <c r="E9" s="57"/>
    </row>
    <row r="10" spans="1:5" ht="59.25" customHeight="1">
      <c r="A10" s="3"/>
      <c r="B10" s="3"/>
      <c r="C10" s="63" t="s">
        <v>76</v>
      </c>
      <c r="D10" s="57" t="s">
        <v>446</v>
      </c>
      <c r="E10" s="57" t="s">
        <v>447</v>
      </c>
    </row>
    <row r="11" spans="1:5" ht="16.5">
      <c r="A11" s="3"/>
      <c r="B11" s="3"/>
      <c r="C11" s="63" t="s">
        <v>77</v>
      </c>
      <c r="D11" s="57" t="s">
        <v>445</v>
      </c>
      <c r="E11" s="57" t="s">
        <v>445</v>
      </c>
    </row>
    <row r="12" spans="1:5" ht="89.25" customHeight="1">
      <c r="A12" s="3"/>
      <c r="B12" s="3"/>
      <c r="C12" s="63" t="s">
        <v>78</v>
      </c>
      <c r="D12" s="59"/>
      <c r="E12" s="59"/>
    </row>
    <row r="13" spans="1:5" ht="77.25" customHeight="1">
      <c r="A13" s="3"/>
      <c r="B13" s="3"/>
      <c r="C13" s="63" t="s">
        <v>79</v>
      </c>
      <c r="D13" s="59"/>
      <c r="E13" s="57"/>
    </row>
    <row r="14" spans="1:5" ht="65.25" customHeight="1">
      <c r="A14" s="3"/>
      <c r="B14" s="3"/>
      <c r="C14" s="63" t="s">
        <v>80</v>
      </c>
      <c r="D14" s="57"/>
      <c r="E14" s="57"/>
    </row>
    <row r="15" spans="1:5" ht="15" customHeight="1">
      <c r="A15" s="3"/>
      <c r="B15" s="3"/>
      <c r="C15" s="3"/>
      <c r="D15" s="3"/>
      <c r="E15" s="3"/>
    </row>
    <row r="16" spans="1:5" ht="15" customHeight="1">
      <c r="A16" s="3"/>
      <c r="B16" s="3"/>
      <c r="C16" s="3"/>
      <c r="D16" s="3"/>
      <c r="E16" s="3"/>
    </row>
    <row r="17" spans="1:5" ht="15" customHeight="1">
      <c r="A17" s="3"/>
      <c r="B17" s="3"/>
      <c r="C17" s="7" t="s">
        <v>81</v>
      </c>
      <c r="D17" s="3"/>
      <c r="E17" s="3"/>
    </row>
    <row r="18" spans="1:5" ht="15.75" customHeight="1">
      <c r="A18" s="3"/>
      <c r="B18" s="3"/>
      <c r="C18" s="4" t="s">
        <v>82</v>
      </c>
      <c r="D18" s="4" t="s">
        <v>83</v>
      </c>
      <c r="E18" s="4" t="s">
        <v>84</v>
      </c>
    </row>
    <row r="19" spans="1:5" ht="15.75" customHeight="1">
      <c r="A19" s="3"/>
      <c r="B19" s="3"/>
      <c r="C19" s="12" t="s">
        <v>85</v>
      </c>
      <c r="D19" s="6"/>
      <c r="E19" s="6"/>
    </row>
    <row r="20" spans="1:5" ht="20.25" customHeight="1">
      <c r="A20" s="3"/>
      <c r="B20" s="3"/>
      <c r="C20" s="12" t="s">
        <v>86</v>
      </c>
      <c r="D20" s="5"/>
      <c r="E20" s="6"/>
    </row>
    <row r="21" spans="1:5" ht="30.75" customHeight="1">
      <c r="A21" s="3"/>
      <c r="B21" s="3"/>
      <c r="C21" s="12" t="s">
        <v>87</v>
      </c>
      <c r="D21" s="5"/>
      <c r="E21" s="5"/>
    </row>
    <row r="22" spans="1:5" ht="24.75" customHeight="1">
      <c r="A22" s="3"/>
      <c r="B22" s="3"/>
      <c r="C22" s="12" t="s">
        <v>88</v>
      </c>
      <c r="D22" s="5"/>
      <c r="E22" s="5"/>
    </row>
    <row r="23" spans="1:5" ht="30.75" customHeight="1">
      <c r="A23" s="3"/>
      <c r="B23" s="3"/>
      <c r="C23" s="12" t="s">
        <v>89</v>
      </c>
      <c r="D23" s="5"/>
      <c r="E23" s="6"/>
    </row>
  </sheetData>
  <mergeCells count="2">
    <mergeCell ref="B1:D1"/>
    <mergeCell ref="B2:E2"/>
  </mergeCells>
  <phoneticPr fontId="3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Y82"/>
  <sheetViews>
    <sheetView showGridLines="0" topLeftCell="A43" zoomScale="85" zoomScaleNormal="85" workbookViewId="0">
      <selection activeCell="D14" sqref="D14"/>
    </sheetView>
  </sheetViews>
  <sheetFormatPr defaultColWidth="8.7109375" defaultRowHeight="15"/>
  <cols>
    <col min="2" max="2" width="3" customWidth="1"/>
    <col min="3" max="3" width="12" customWidth="1"/>
    <col min="4" max="4" width="13" customWidth="1"/>
  </cols>
  <sheetData>
    <row r="1" spans="1:25" ht="25.5" customHeight="1">
      <c r="A1" s="3"/>
      <c r="B1" s="124" t="s">
        <v>90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3"/>
      <c r="N1" s="3"/>
    </row>
    <row r="2" spans="1:25" ht="27.75" customHeight="1">
      <c r="A2" s="3"/>
      <c r="B2" s="125" t="s">
        <v>91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3"/>
      <c r="N2" s="3"/>
    </row>
    <row r="3" spans="1:25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5" ht="15" customHeight="1">
      <c r="A4" s="3"/>
      <c r="B4" s="3"/>
      <c r="C4" s="141" t="s">
        <v>92</v>
      </c>
      <c r="D4" s="141"/>
      <c r="E4" s="141"/>
      <c r="F4" s="141"/>
      <c r="G4" s="141"/>
      <c r="H4" s="141"/>
      <c r="I4" s="141"/>
      <c r="J4" s="3"/>
      <c r="K4" s="3"/>
      <c r="L4" s="3"/>
      <c r="M4" s="3"/>
      <c r="N4" s="3"/>
    </row>
    <row r="5" spans="1:25" ht="44.25" customHeight="1">
      <c r="A5" s="3"/>
      <c r="B5" s="3"/>
      <c r="C5" s="4" t="s">
        <v>93</v>
      </c>
      <c r="D5" s="4" t="s">
        <v>94</v>
      </c>
      <c r="E5" s="4" t="s">
        <v>95</v>
      </c>
      <c r="F5" s="13" t="s">
        <v>35</v>
      </c>
      <c r="G5" s="4" t="s">
        <v>96</v>
      </c>
      <c r="H5" s="4" t="s">
        <v>97</v>
      </c>
      <c r="I5" s="13" t="s">
        <v>98</v>
      </c>
      <c r="J5" s="3"/>
      <c r="K5" s="3"/>
      <c r="L5" s="3"/>
      <c r="M5" s="3"/>
      <c r="N5" s="3"/>
    </row>
    <row r="6" spans="1:25" ht="15" customHeight="1">
      <c r="A6" s="3"/>
      <c r="B6" s="3"/>
      <c r="C6" s="9" t="s">
        <v>99</v>
      </c>
      <c r="D6" s="14">
        <v>60000</v>
      </c>
      <c r="E6" s="14">
        <v>25000</v>
      </c>
      <c r="F6" s="14">
        <v>2267</v>
      </c>
      <c r="G6" s="15" t="s">
        <v>100</v>
      </c>
      <c r="H6" s="15" t="s">
        <v>100</v>
      </c>
      <c r="I6" s="15" t="s">
        <v>100</v>
      </c>
      <c r="J6" s="3"/>
      <c r="K6" s="3"/>
      <c r="L6" s="3"/>
      <c r="M6" s="3"/>
      <c r="N6" s="3"/>
    </row>
    <row r="7" spans="1:25" ht="15" customHeight="1">
      <c r="A7" s="3"/>
      <c r="B7" s="3"/>
      <c r="C7" s="9" t="s">
        <v>101</v>
      </c>
      <c r="D7" s="14">
        <v>66700</v>
      </c>
      <c r="E7" s="14">
        <v>26500</v>
      </c>
      <c r="F7" s="14">
        <v>2591.3000000000002</v>
      </c>
      <c r="G7" s="16">
        <f t="shared" ref="G7:I8" si="0">D7/D6-1</f>
        <v>0.11166666666666658</v>
      </c>
      <c r="H7" s="16">
        <f t="shared" si="0"/>
        <v>6.0000000000000053E-2</v>
      </c>
      <c r="I7" s="16">
        <f t="shared" si="0"/>
        <v>0.14305249228054695</v>
      </c>
      <c r="J7" s="3"/>
      <c r="K7" s="3"/>
      <c r="L7" s="3"/>
      <c r="M7" s="3"/>
      <c r="N7" s="3"/>
    </row>
    <row r="8" spans="1:25" ht="16.5">
      <c r="A8" s="3"/>
      <c r="B8" s="3"/>
      <c r="C8" s="9" t="s">
        <v>102</v>
      </c>
      <c r="D8" s="14">
        <v>81000</v>
      </c>
      <c r="E8" s="14">
        <v>27200</v>
      </c>
      <c r="F8" s="14">
        <v>2873.5</v>
      </c>
      <c r="G8" s="16">
        <f t="shared" si="0"/>
        <v>0.21439280359820101</v>
      </c>
      <c r="H8" s="16">
        <f t="shared" si="0"/>
        <v>2.6415094339622636E-2</v>
      </c>
      <c r="I8" s="16">
        <f t="shared" si="0"/>
        <v>0.10890286728669007</v>
      </c>
      <c r="J8" s="3"/>
      <c r="K8" s="3"/>
      <c r="L8" s="3"/>
      <c r="M8" s="3"/>
      <c r="N8" s="3"/>
    </row>
    <row r="9" spans="1:25" ht="30.75" customHeight="1">
      <c r="A9" s="3"/>
      <c r="B9" s="3"/>
      <c r="C9" s="125" t="s">
        <v>103</v>
      </c>
      <c r="D9" s="125"/>
      <c r="E9" s="125"/>
      <c r="F9" s="125"/>
      <c r="G9" s="125"/>
      <c r="H9" s="125"/>
      <c r="I9" s="125"/>
      <c r="J9" s="3"/>
      <c r="K9" s="3"/>
      <c r="L9" s="3"/>
      <c r="M9" s="3"/>
      <c r="N9" s="3"/>
    </row>
    <row r="10" spans="1:25" ht="1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25" ht="1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25" ht="30.75" customHeight="1">
      <c r="A12" s="3"/>
      <c r="B12" s="3"/>
      <c r="C12" s="119" t="s">
        <v>104</v>
      </c>
      <c r="D12" s="119"/>
      <c r="E12" s="119"/>
      <c r="F12" s="119"/>
      <c r="G12" s="3"/>
      <c r="H12" s="3"/>
      <c r="I12" s="3"/>
      <c r="J12" s="3"/>
      <c r="K12" s="3"/>
      <c r="L12" s="3"/>
      <c r="M12" s="3"/>
      <c r="N12" s="3"/>
    </row>
    <row r="13" spans="1:25" ht="44.25" customHeight="1">
      <c r="A13" s="3"/>
      <c r="B13" s="3"/>
      <c r="C13" s="4" t="s">
        <v>93</v>
      </c>
      <c r="D13" s="4" t="s">
        <v>94</v>
      </c>
      <c r="E13" s="4" t="s">
        <v>95</v>
      </c>
      <c r="F13" s="13" t="s">
        <v>35</v>
      </c>
      <c r="G13" s="4" t="s">
        <v>96</v>
      </c>
      <c r="H13" s="4" t="s">
        <v>97</v>
      </c>
      <c r="I13" s="13" t="s">
        <v>98</v>
      </c>
      <c r="J13" s="4" t="s">
        <v>105</v>
      </c>
      <c r="K13" s="4" t="s">
        <v>106</v>
      </c>
      <c r="L13" s="13" t="s">
        <v>107</v>
      </c>
      <c r="M13" s="3"/>
      <c r="N13" s="125" t="s">
        <v>108</v>
      </c>
      <c r="O13" s="125"/>
      <c r="P13" s="125"/>
      <c r="Q13" s="125"/>
      <c r="R13" s="125"/>
      <c r="S13" s="125"/>
      <c r="T13" s="125"/>
      <c r="U13" s="125"/>
      <c r="V13" s="125"/>
      <c r="W13" s="125"/>
    </row>
    <row r="14" spans="1:25" ht="33" customHeight="1">
      <c r="A14" s="3"/>
      <c r="B14" s="3"/>
      <c r="C14" s="17" t="s">
        <v>109</v>
      </c>
      <c r="D14" s="18">
        <v>40250</v>
      </c>
      <c r="E14" s="18">
        <v>38150</v>
      </c>
      <c r="F14" s="19">
        <v>2976.21</v>
      </c>
      <c r="G14" s="20" t="s">
        <v>100</v>
      </c>
      <c r="H14" s="20" t="s">
        <v>100</v>
      </c>
      <c r="I14" s="20" t="s">
        <v>100</v>
      </c>
      <c r="J14" s="21">
        <v>100</v>
      </c>
      <c r="K14" s="21">
        <v>100</v>
      </c>
      <c r="L14" s="21">
        <v>100</v>
      </c>
      <c r="M14" s="3"/>
      <c r="N14" s="139" t="s">
        <v>378</v>
      </c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</row>
    <row r="15" spans="1:25" ht="30.75" customHeight="1">
      <c r="A15" s="3"/>
      <c r="B15" s="3"/>
      <c r="C15" s="17" t="s">
        <v>110</v>
      </c>
      <c r="D15" s="18">
        <v>39800</v>
      </c>
      <c r="E15" s="18">
        <v>36350</v>
      </c>
      <c r="F15" s="19">
        <v>3012.95</v>
      </c>
      <c r="G15" s="20">
        <f t="shared" ref="G15:G46" si="1">IFERROR(D15/D14-1,"")</f>
        <v>-1.1180124223602483E-2</v>
      </c>
      <c r="H15" s="20">
        <f t="shared" ref="H15:H46" si="2">IFERROR(E15/E14-1,"")</f>
        <v>-4.7182175622542566E-2</v>
      </c>
      <c r="I15" s="20">
        <f t="shared" ref="I15:I46" si="3">IFERROR(F15/F14-1,"")</f>
        <v>1.2344559019692669E-2</v>
      </c>
      <c r="J15" s="22">
        <f>IFERROR(J14*(1+G15),"")</f>
        <v>98.881987577639748</v>
      </c>
      <c r="K15" s="22">
        <f t="shared" ref="K15:K46" si="4">IFERROR(K14*(1+H15),"")</f>
        <v>95.281782437745747</v>
      </c>
      <c r="L15" s="22">
        <f t="shared" ref="L15:L46" si="5">IFERROR(L14*(1+I15),"")</f>
        <v>101.23445590196927</v>
      </c>
      <c r="M15" s="3"/>
      <c r="N15" s="125" t="s">
        <v>111</v>
      </c>
      <c r="O15" s="125"/>
      <c r="P15" s="125"/>
      <c r="Q15" s="125"/>
      <c r="R15" s="125"/>
      <c r="S15" s="125"/>
      <c r="T15" s="125"/>
      <c r="U15" s="125"/>
      <c r="V15" s="125"/>
      <c r="W15" s="125"/>
      <c r="X15" s="125"/>
    </row>
    <row r="16" spans="1:25" ht="15.75" customHeight="1">
      <c r="A16" s="3"/>
      <c r="B16" s="3"/>
      <c r="C16" s="17" t="s">
        <v>112</v>
      </c>
      <c r="D16" s="18">
        <v>44050</v>
      </c>
      <c r="E16" s="18">
        <v>43000</v>
      </c>
      <c r="F16" s="19">
        <v>3061.42</v>
      </c>
      <c r="G16" s="23">
        <f t="shared" si="1"/>
        <v>0.10678391959799005</v>
      </c>
      <c r="H16" s="23">
        <f t="shared" si="2"/>
        <v>0.18294360385144426</v>
      </c>
      <c r="I16" s="23">
        <f t="shared" si="3"/>
        <v>1.6087223485288682E-2</v>
      </c>
      <c r="J16" s="24">
        <f t="shared" ref="J16:J46" si="6">IFERROR(J15*(1+G16),"")</f>
        <v>109.44099378881988</v>
      </c>
      <c r="K16" s="24">
        <f t="shared" si="4"/>
        <v>112.7129750982962</v>
      </c>
      <c r="L16" s="24">
        <f t="shared" si="5"/>
        <v>102.86303721847585</v>
      </c>
      <c r="M16" s="3"/>
      <c r="N16" s="3"/>
    </row>
    <row r="17" spans="1:14" ht="15.75" customHeight="1">
      <c r="A17" s="3"/>
      <c r="B17" s="3"/>
      <c r="C17" s="17" t="s">
        <v>113</v>
      </c>
      <c r="D17" s="18">
        <v>50400</v>
      </c>
      <c r="E17" s="18">
        <v>44150</v>
      </c>
      <c r="F17" s="19">
        <v>3147.86</v>
      </c>
      <c r="G17" s="23">
        <f t="shared" si="1"/>
        <v>0.14415437003405218</v>
      </c>
      <c r="H17" s="23">
        <f t="shared" si="2"/>
        <v>2.6744186046511631E-2</v>
      </c>
      <c r="I17" s="23">
        <f t="shared" si="3"/>
        <v>2.8235263374512432E-2</v>
      </c>
      <c r="J17" s="24">
        <f t="shared" si="6"/>
        <v>125.21739130434783</v>
      </c>
      <c r="K17" s="24">
        <f t="shared" si="4"/>
        <v>115.72739187418087</v>
      </c>
      <c r="L17" s="24">
        <f t="shared" si="5"/>
        <v>105.76740216584179</v>
      </c>
      <c r="M17" s="3"/>
      <c r="N17" s="3"/>
    </row>
    <row r="18" spans="1:14" ht="15.75" customHeight="1">
      <c r="A18" s="3"/>
      <c r="B18" s="3"/>
      <c r="C18" s="17" t="s">
        <v>114</v>
      </c>
      <c r="D18" s="18">
        <v>57400</v>
      </c>
      <c r="E18" s="18">
        <v>44750</v>
      </c>
      <c r="F18" s="19">
        <v>3203.92</v>
      </c>
      <c r="G18" s="23">
        <f t="shared" si="1"/>
        <v>0.13888888888888884</v>
      </c>
      <c r="H18" s="23">
        <f t="shared" si="2"/>
        <v>1.3590033975084959E-2</v>
      </c>
      <c r="I18" s="23">
        <f t="shared" si="3"/>
        <v>1.7808924157999284E-2</v>
      </c>
      <c r="J18" s="24">
        <f t="shared" si="6"/>
        <v>142.60869565217391</v>
      </c>
      <c r="K18" s="24">
        <f t="shared" si="4"/>
        <v>117.30013106159896</v>
      </c>
      <c r="L18" s="24">
        <f t="shared" si="5"/>
        <v>107.65100580940187</v>
      </c>
      <c r="M18" s="3"/>
      <c r="N18" s="3"/>
    </row>
    <row r="19" spans="1:14" ht="15.75" customHeight="1">
      <c r="A19" s="3"/>
      <c r="B19" s="3"/>
      <c r="C19" s="17" t="s">
        <v>115</v>
      </c>
      <c r="D19" s="18">
        <v>58300</v>
      </c>
      <c r="E19" s="18">
        <v>42900</v>
      </c>
      <c r="F19" s="19">
        <v>3296.68</v>
      </c>
      <c r="G19" s="23">
        <f t="shared" si="1"/>
        <v>1.5679442508710784E-2</v>
      </c>
      <c r="H19" s="23">
        <f t="shared" si="2"/>
        <v>-4.134078212290504E-2</v>
      </c>
      <c r="I19" s="23">
        <f t="shared" si="3"/>
        <v>2.8952033758645523E-2</v>
      </c>
      <c r="J19" s="24">
        <f t="shared" si="6"/>
        <v>144.84472049689441</v>
      </c>
      <c r="K19" s="24">
        <f t="shared" si="4"/>
        <v>112.45085190039319</v>
      </c>
      <c r="L19" s="24">
        <f t="shared" si="5"/>
        <v>110.76772136374781</v>
      </c>
      <c r="M19" s="3"/>
      <c r="N19" s="3"/>
    </row>
    <row r="20" spans="1:14" ht="15.75" customHeight="1">
      <c r="A20" s="3"/>
      <c r="B20" s="3"/>
      <c r="C20" s="17" t="s">
        <v>116</v>
      </c>
      <c r="D20" s="18">
        <v>54700</v>
      </c>
      <c r="E20" s="18">
        <v>44050</v>
      </c>
      <c r="F20" s="19">
        <v>3202.32</v>
      </c>
      <c r="G20" s="23">
        <f t="shared" si="1"/>
        <v>-6.1749571183533414E-2</v>
      </c>
      <c r="H20" s="23">
        <f t="shared" si="2"/>
        <v>2.6806526806526731E-2</v>
      </c>
      <c r="I20" s="23">
        <f t="shared" si="3"/>
        <v>-2.8622735600664861E-2</v>
      </c>
      <c r="J20" s="24">
        <f t="shared" si="6"/>
        <v>135.90062111801242</v>
      </c>
      <c r="K20" s="24">
        <f t="shared" si="4"/>
        <v>115.46526867627784</v>
      </c>
      <c r="L20" s="24">
        <f t="shared" si="5"/>
        <v>107.59724616206515</v>
      </c>
      <c r="M20" s="3"/>
      <c r="N20" s="3"/>
    </row>
    <row r="21" spans="1:14" ht="15.75" customHeight="1">
      <c r="A21" s="3"/>
      <c r="B21" s="3"/>
      <c r="C21" s="17" t="s">
        <v>117</v>
      </c>
      <c r="D21" s="18">
        <v>55500</v>
      </c>
      <c r="E21" s="18">
        <v>44750</v>
      </c>
      <c r="F21" s="19">
        <v>3199.27</v>
      </c>
      <c r="G21" s="23">
        <f t="shared" si="1"/>
        <v>1.4625228519195677E-2</v>
      </c>
      <c r="H21" s="23">
        <f t="shared" si="2"/>
        <v>1.5891032917139558E-2</v>
      </c>
      <c r="I21" s="23">
        <f t="shared" si="3"/>
        <v>-9.5243448499848782E-4</v>
      </c>
      <c r="J21" s="24">
        <f t="shared" si="6"/>
        <v>137.88819875776397</v>
      </c>
      <c r="K21" s="24">
        <f t="shared" si="4"/>
        <v>117.30013106159893</v>
      </c>
      <c r="L21" s="24">
        <f t="shared" si="5"/>
        <v>107.49476683432952</v>
      </c>
      <c r="M21" s="3"/>
      <c r="N21" s="3"/>
    </row>
    <row r="22" spans="1:14" ht="15.75" customHeight="1">
      <c r="A22" s="3"/>
      <c r="B22" s="3"/>
      <c r="C22" s="17" t="s">
        <v>118</v>
      </c>
      <c r="D22" s="18">
        <v>51400</v>
      </c>
      <c r="E22" s="18">
        <v>42750</v>
      </c>
      <c r="F22" s="19">
        <v>3068.82</v>
      </c>
      <c r="G22" s="23">
        <f t="shared" si="1"/>
        <v>-7.3873873873873896E-2</v>
      </c>
      <c r="H22" s="23">
        <f t="shared" si="2"/>
        <v>-4.4692737430167551E-2</v>
      </c>
      <c r="I22" s="23">
        <f t="shared" si="3"/>
        <v>-4.0774926780171694E-2</v>
      </c>
      <c r="J22" s="24">
        <f t="shared" si="6"/>
        <v>127.70186335403726</v>
      </c>
      <c r="K22" s="24">
        <f t="shared" si="4"/>
        <v>112.05766710353865</v>
      </c>
      <c r="L22" s="24">
        <f t="shared" si="5"/>
        <v>103.11167558740812</v>
      </c>
      <c r="M22" s="3"/>
      <c r="N22" s="3"/>
    </row>
    <row r="23" spans="1:14" ht="15.75" customHeight="1">
      <c r="A23" s="3"/>
      <c r="B23" s="3"/>
      <c r="C23" s="17" t="s">
        <v>119</v>
      </c>
      <c r="D23" s="18">
        <v>50300</v>
      </c>
      <c r="E23" s="18">
        <v>41350</v>
      </c>
      <c r="F23" s="19">
        <v>2970.68</v>
      </c>
      <c r="G23" s="23">
        <f t="shared" si="1"/>
        <v>-2.1400778210116767E-2</v>
      </c>
      <c r="H23" s="23">
        <f t="shared" si="2"/>
        <v>-3.274853801169586E-2</v>
      </c>
      <c r="I23" s="23">
        <f t="shared" si="3"/>
        <v>-3.1979718588904027E-2</v>
      </c>
      <c r="J23" s="24">
        <f t="shared" si="6"/>
        <v>124.96894409937887</v>
      </c>
      <c r="K23" s="24">
        <f t="shared" si="4"/>
        <v>108.38794233289646</v>
      </c>
      <c r="L23" s="24">
        <f t="shared" si="5"/>
        <v>99.814193218892441</v>
      </c>
      <c r="M23" s="3"/>
      <c r="N23" s="3"/>
    </row>
    <row r="24" spans="1:14" ht="15.75" customHeight="1">
      <c r="A24" s="3"/>
      <c r="B24" s="3"/>
      <c r="C24" s="17" t="s">
        <v>120</v>
      </c>
      <c r="D24" s="18">
        <v>44200</v>
      </c>
      <c r="E24" s="18">
        <v>36700</v>
      </c>
      <c r="F24" s="19">
        <v>2839.01</v>
      </c>
      <c r="G24" s="23">
        <f t="shared" si="1"/>
        <v>-0.12127236580516898</v>
      </c>
      <c r="H24" s="23">
        <f t="shared" si="2"/>
        <v>-0.11245465538089483</v>
      </c>
      <c r="I24" s="23">
        <f t="shared" si="3"/>
        <v>-4.4323185263979825E-2</v>
      </c>
      <c r="J24" s="24">
        <f t="shared" si="6"/>
        <v>109.81366459627328</v>
      </c>
      <c r="K24" s="24">
        <f t="shared" si="4"/>
        <v>96.199213630406291</v>
      </c>
      <c r="L24" s="24">
        <f t="shared" si="5"/>
        <v>95.390110240876794</v>
      </c>
      <c r="M24" s="3"/>
      <c r="N24" s="3"/>
    </row>
    <row r="25" spans="1:14" ht="15.75" customHeight="1">
      <c r="A25" s="3"/>
      <c r="B25" s="3"/>
      <c r="C25" s="17" t="s">
        <v>121</v>
      </c>
      <c r="D25" s="18">
        <v>44450</v>
      </c>
      <c r="E25" s="18">
        <v>39600</v>
      </c>
      <c r="F25" s="19">
        <v>2977.65</v>
      </c>
      <c r="G25" s="23">
        <f t="shared" si="1"/>
        <v>5.6561085972850478E-3</v>
      </c>
      <c r="H25" s="23">
        <f t="shared" si="2"/>
        <v>7.9019073569482234E-2</v>
      </c>
      <c r="I25" s="23">
        <f t="shared" si="3"/>
        <v>4.8833924501850978E-2</v>
      </c>
      <c r="J25" s="24">
        <f t="shared" si="6"/>
        <v>110.43478260869564</v>
      </c>
      <c r="K25" s="24">
        <f t="shared" si="4"/>
        <v>103.80078636959371</v>
      </c>
      <c r="L25" s="24">
        <f t="shared" si="5"/>
        <v>100.04838368260302</v>
      </c>
      <c r="M25" s="3"/>
      <c r="N25" s="3"/>
    </row>
    <row r="26" spans="1:14" ht="15.75" customHeight="1">
      <c r="A26" s="3"/>
      <c r="B26" s="3"/>
      <c r="C26" s="17" t="s">
        <v>122</v>
      </c>
      <c r="D26" s="18">
        <v>42200</v>
      </c>
      <c r="E26" s="18">
        <v>39250</v>
      </c>
      <c r="F26" s="19">
        <v>2663.34</v>
      </c>
      <c r="G26" s="23">
        <f t="shared" si="1"/>
        <v>-5.0618672665916797E-2</v>
      </c>
      <c r="H26" s="23">
        <f t="shared" si="2"/>
        <v>-8.8383838383838675E-3</v>
      </c>
      <c r="I26" s="23">
        <f t="shared" si="3"/>
        <v>-0.10555639514382142</v>
      </c>
      <c r="J26" s="24">
        <f t="shared" si="6"/>
        <v>104.8447204968944</v>
      </c>
      <c r="K26" s="24">
        <f t="shared" si="4"/>
        <v>102.88335517693315</v>
      </c>
      <c r="L26" s="24">
        <f t="shared" si="5"/>
        <v>89.487636961101515</v>
      </c>
      <c r="M26" s="3"/>
      <c r="N26" s="3"/>
    </row>
    <row r="27" spans="1:14" ht="15.75" customHeight="1">
      <c r="A27" s="3"/>
      <c r="B27" s="3"/>
      <c r="C27" s="17" t="s">
        <v>123</v>
      </c>
      <c r="D27" s="18">
        <v>43300</v>
      </c>
      <c r="E27" s="18">
        <v>42850</v>
      </c>
      <c r="F27" s="19">
        <v>2699.18</v>
      </c>
      <c r="G27" s="23">
        <f t="shared" si="1"/>
        <v>2.6066350710900466E-2</v>
      </c>
      <c r="H27" s="23">
        <f t="shared" si="2"/>
        <v>9.1719745222929916E-2</v>
      </c>
      <c r="I27" s="23">
        <f t="shared" si="3"/>
        <v>1.3456787342209342E-2</v>
      </c>
      <c r="J27" s="24">
        <f t="shared" si="6"/>
        <v>107.57763975155278</v>
      </c>
      <c r="K27" s="24">
        <f t="shared" si="4"/>
        <v>112.31979030144167</v>
      </c>
      <c r="L27" s="24">
        <f t="shared" si="5"/>
        <v>90.691853061443894</v>
      </c>
      <c r="M27" s="3"/>
      <c r="N27" s="3"/>
    </row>
    <row r="28" spans="1:14" ht="15.75" customHeight="1">
      <c r="A28" s="3"/>
      <c r="B28" s="3"/>
      <c r="C28" s="17" t="s">
        <v>124</v>
      </c>
      <c r="D28" s="18">
        <v>47900</v>
      </c>
      <c r="E28" s="18">
        <v>46400</v>
      </c>
      <c r="F28" s="19">
        <v>2757.65</v>
      </c>
      <c r="G28" s="23">
        <f t="shared" si="1"/>
        <v>0.10623556581986149</v>
      </c>
      <c r="H28" s="23">
        <f t="shared" si="2"/>
        <v>8.2847141190198315E-2</v>
      </c>
      <c r="I28" s="23">
        <f t="shared" si="3"/>
        <v>2.1662134426011059E-2</v>
      </c>
      <c r="J28" s="24">
        <f t="shared" si="6"/>
        <v>119.00621118012421</v>
      </c>
      <c r="K28" s="24">
        <f t="shared" si="4"/>
        <v>121.62516382699867</v>
      </c>
      <c r="L28" s="24">
        <f t="shared" si="5"/>
        <v>92.65643217380493</v>
      </c>
      <c r="M28" s="3"/>
      <c r="N28" s="3"/>
    </row>
    <row r="29" spans="1:14" ht="15.75" customHeight="1">
      <c r="A29" s="3"/>
      <c r="B29" s="3"/>
      <c r="C29" s="17" t="s">
        <v>125</v>
      </c>
      <c r="D29" s="18">
        <v>44550</v>
      </c>
      <c r="E29" s="18">
        <v>42050</v>
      </c>
      <c r="F29" s="19">
        <v>2695.05</v>
      </c>
      <c r="G29" s="23">
        <f t="shared" si="1"/>
        <v>-6.9937369519832981E-2</v>
      </c>
      <c r="H29" s="23">
        <f t="shared" si="2"/>
        <v>-9.375E-2</v>
      </c>
      <c r="I29" s="23">
        <f t="shared" si="3"/>
        <v>-2.2700487734121366E-2</v>
      </c>
      <c r="J29" s="24">
        <f t="shared" si="6"/>
        <v>110.68322981366458</v>
      </c>
      <c r="K29" s="24">
        <f t="shared" si="4"/>
        <v>110.22280471821755</v>
      </c>
      <c r="L29" s="24">
        <f t="shared" si="5"/>
        <v>90.553085971756019</v>
      </c>
      <c r="M29" s="3"/>
      <c r="N29" s="3"/>
    </row>
    <row r="30" spans="1:14" ht="15.75" customHeight="1">
      <c r="A30" s="3"/>
      <c r="B30" s="3"/>
      <c r="C30" s="17" t="s">
        <v>126</v>
      </c>
      <c r="D30" s="18">
        <v>43300</v>
      </c>
      <c r="E30" s="18">
        <v>39800</v>
      </c>
      <c r="F30" s="19">
        <v>2685.9</v>
      </c>
      <c r="G30" s="23">
        <f t="shared" si="1"/>
        <v>-2.8058361391694708E-2</v>
      </c>
      <c r="H30" s="23">
        <f t="shared" si="2"/>
        <v>-5.3507728894173656E-2</v>
      </c>
      <c r="I30" s="23">
        <f t="shared" si="3"/>
        <v>-3.395113263204852E-3</v>
      </c>
      <c r="J30" s="24">
        <f t="shared" si="6"/>
        <v>107.57763975155278</v>
      </c>
      <c r="K30" s="24">
        <f t="shared" si="4"/>
        <v>104.32503276539971</v>
      </c>
      <c r="L30" s="24">
        <f t="shared" si="5"/>
        <v>90.24564798854918</v>
      </c>
      <c r="M30" s="3"/>
      <c r="N30" s="3"/>
    </row>
    <row r="31" spans="1:14" ht="15.75" customHeight="1">
      <c r="A31" s="3"/>
      <c r="B31" s="3"/>
      <c r="C31" s="17" t="s">
        <v>127</v>
      </c>
      <c r="D31" s="18">
        <v>41350</v>
      </c>
      <c r="E31" s="18">
        <v>31550</v>
      </c>
      <c r="F31" s="19">
        <v>2332.64</v>
      </c>
      <c r="G31" s="23">
        <f t="shared" si="1"/>
        <v>-4.5034642032332539E-2</v>
      </c>
      <c r="H31" s="23">
        <f t="shared" si="2"/>
        <v>-0.207286432160804</v>
      </c>
      <c r="I31" s="23">
        <f t="shared" si="3"/>
        <v>-0.13152388398674564</v>
      </c>
      <c r="J31" s="24">
        <f t="shared" si="6"/>
        <v>102.73291925465837</v>
      </c>
      <c r="K31" s="24">
        <f t="shared" si="4"/>
        <v>82.699868938401025</v>
      </c>
      <c r="L31" s="24">
        <f t="shared" si="5"/>
        <v>78.376189852194557</v>
      </c>
      <c r="M31" s="3"/>
      <c r="N31" s="3"/>
    </row>
    <row r="32" spans="1:14" ht="15.75" customHeight="1">
      <c r="A32" s="3"/>
      <c r="B32" s="3"/>
      <c r="C32" s="17" t="s">
        <v>128</v>
      </c>
      <c r="D32" s="18">
        <v>42150</v>
      </c>
      <c r="E32" s="18">
        <v>29800</v>
      </c>
      <c r="F32" s="19">
        <v>2451.5</v>
      </c>
      <c r="G32" s="23">
        <f t="shared" si="1"/>
        <v>1.9347037484885199E-2</v>
      </c>
      <c r="H32" s="23">
        <f t="shared" si="2"/>
        <v>-5.5467511885895382E-2</v>
      </c>
      <c r="I32" s="23">
        <f t="shared" si="3"/>
        <v>5.0955140956169931E-2</v>
      </c>
      <c r="J32" s="24">
        <f t="shared" si="6"/>
        <v>104.72049689440993</v>
      </c>
      <c r="K32" s="24">
        <f t="shared" si="4"/>
        <v>78.112712975098276</v>
      </c>
      <c r="L32" s="24">
        <f t="shared" si="5"/>
        <v>82.369859653720667</v>
      </c>
      <c r="M32" s="3"/>
      <c r="N32" s="3"/>
    </row>
    <row r="33" spans="1:14" ht="15.75" customHeight="1">
      <c r="A33" s="3"/>
      <c r="B33" s="3"/>
      <c r="C33" s="17" t="s">
        <v>129</v>
      </c>
      <c r="D33" s="18">
        <v>48200</v>
      </c>
      <c r="E33" s="18">
        <v>30150</v>
      </c>
      <c r="F33" s="19">
        <v>2472.0500000000002</v>
      </c>
      <c r="G33" s="23">
        <f t="shared" si="1"/>
        <v>0.14353499406880199</v>
      </c>
      <c r="H33" s="23">
        <f t="shared" si="2"/>
        <v>1.1744966442952975E-2</v>
      </c>
      <c r="I33" s="23">
        <f t="shared" si="3"/>
        <v>8.3826228839487538E-3</v>
      </c>
      <c r="J33" s="24">
        <f t="shared" si="6"/>
        <v>119.75155279503106</v>
      </c>
      <c r="K33" s="24">
        <f t="shared" si="4"/>
        <v>79.03014416775882</v>
      </c>
      <c r="L33" s="24">
        <f t="shared" si="5"/>
        <v>83.060335124201586</v>
      </c>
      <c r="M33" s="3"/>
      <c r="N33" s="3"/>
    </row>
    <row r="34" spans="1:14" ht="15.75" customHeight="1">
      <c r="A34" s="3"/>
      <c r="B34" s="3"/>
      <c r="C34" s="17" t="s">
        <v>130</v>
      </c>
      <c r="D34" s="18">
        <v>37500</v>
      </c>
      <c r="E34" s="18">
        <v>22550</v>
      </c>
      <c r="F34" s="19">
        <v>2155.4899999999998</v>
      </c>
      <c r="G34" s="23">
        <f t="shared" si="1"/>
        <v>-0.22199170124481327</v>
      </c>
      <c r="H34" s="23">
        <f t="shared" si="2"/>
        <v>-0.2520729684908789</v>
      </c>
      <c r="I34" s="23">
        <f t="shared" si="3"/>
        <v>-0.12805566230456522</v>
      </c>
      <c r="J34" s="24">
        <f t="shared" si="6"/>
        <v>93.16770186335404</v>
      </c>
      <c r="K34" s="24">
        <f t="shared" si="4"/>
        <v>59.108781127129731</v>
      </c>
      <c r="L34" s="24">
        <f t="shared" si="5"/>
        <v>72.423988898632814</v>
      </c>
      <c r="M34" s="3"/>
      <c r="N34" s="3"/>
    </row>
    <row r="35" spans="1:14" ht="15.75" customHeight="1">
      <c r="A35" s="3"/>
      <c r="B35" s="3"/>
      <c r="C35" s="17" t="s">
        <v>131</v>
      </c>
      <c r="D35" s="18">
        <v>34900</v>
      </c>
      <c r="E35" s="18">
        <v>21700</v>
      </c>
      <c r="F35" s="19">
        <v>2293.61</v>
      </c>
      <c r="G35" s="23">
        <f t="shared" si="1"/>
        <v>-6.9333333333333358E-2</v>
      </c>
      <c r="H35" s="23">
        <f t="shared" si="2"/>
        <v>-3.7694013303769425E-2</v>
      </c>
      <c r="I35" s="23">
        <f t="shared" si="3"/>
        <v>6.4078237430932328E-2</v>
      </c>
      <c r="J35" s="24">
        <f t="shared" si="6"/>
        <v>86.708074534161497</v>
      </c>
      <c r="K35" s="24">
        <f t="shared" si="4"/>
        <v>56.880733944954109</v>
      </c>
      <c r="L35" s="24">
        <f t="shared" si="5"/>
        <v>77.064790454974613</v>
      </c>
      <c r="M35" s="3"/>
      <c r="N35" s="3"/>
    </row>
    <row r="36" spans="1:14" ht="15.75" customHeight="1">
      <c r="A36" s="3"/>
      <c r="B36" s="3"/>
      <c r="C36" s="17" t="s">
        <v>132</v>
      </c>
      <c r="D36" s="18">
        <v>41000</v>
      </c>
      <c r="E36" s="18">
        <v>23400</v>
      </c>
      <c r="F36" s="19">
        <v>2472.5300000000002</v>
      </c>
      <c r="G36" s="23">
        <f t="shared" si="1"/>
        <v>0.17478510028653305</v>
      </c>
      <c r="H36" s="23">
        <f t="shared" si="2"/>
        <v>7.8341013824884786E-2</v>
      </c>
      <c r="I36" s="23">
        <f t="shared" si="3"/>
        <v>7.8008031007887224E-2</v>
      </c>
      <c r="J36" s="24">
        <f t="shared" si="6"/>
        <v>101.8633540372671</v>
      </c>
      <c r="K36" s="24">
        <f t="shared" si="4"/>
        <v>61.336828309305353</v>
      </c>
      <c r="L36" s="24">
        <f t="shared" si="5"/>
        <v>83.076463018402606</v>
      </c>
      <c r="M36" s="3"/>
      <c r="N36" s="3"/>
    </row>
    <row r="37" spans="1:14" ht="15.75" customHeight="1">
      <c r="A37" s="3"/>
      <c r="B37" s="3"/>
      <c r="C37" s="17" t="s">
        <v>133</v>
      </c>
      <c r="D37" s="18">
        <v>34900</v>
      </c>
      <c r="E37" s="18">
        <v>21150</v>
      </c>
      <c r="F37" s="19">
        <v>2236.4</v>
      </c>
      <c r="G37" s="23">
        <f t="shared" si="1"/>
        <v>-0.14878048780487807</v>
      </c>
      <c r="H37" s="23">
        <f t="shared" si="2"/>
        <v>-9.6153846153846145E-2</v>
      </c>
      <c r="I37" s="23">
        <f t="shared" si="3"/>
        <v>-9.550136904304507E-2</v>
      </c>
      <c r="J37" s="24">
        <f t="shared" si="6"/>
        <v>86.708074534161511</v>
      </c>
      <c r="K37" s="24">
        <f t="shared" si="4"/>
        <v>55.439056356487534</v>
      </c>
      <c r="L37" s="24">
        <f t="shared" si="5"/>
        <v>75.142547064891247</v>
      </c>
      <c r="M37" s="3"/>
      <c r="N37" s="3"/>
    </row>
    <row r="38" spans="1:14" ht="15.75" customHeight="1">
      <c r="A38" s="3"/>
      <c r="B38" s="3"/>
      <c r="C38" s="17" t="s">
        <v>134</v>
      </c>
      <c r="D38" s="18">
        <v>38050</v>
      </c>
      <c r="E38" s="18">
        <v>23300</v>
      </c>
      <c r="F38" s="19">
        <v>2425.08</v>
      </c>
      <c r="G38" s="23">
        <f t="shared" si="1"/>
        <v>9.0257879656160389E-2</v>
      </c>
      <c r="H38" s="23">
        <f t="shared" si="2"/>
        <v>0.10165484633569744</v>
      </c>
      <c r="I38" s="23">
        <f t="shared" si="3"/>
        <v>8.4367733857986016E-2</v>
      </c>
      <c r="J38" s="24">
        <f t="shared" si="6"/>
        <v>94.534161490683246</v>
      </c>
      <c r="K38" s="24">
        <f t="shared" si="4"/>
        <v>61.074705111402345</v>
      </c>
      <c r="L38" s="24">
        <f t="shared" si="5"/>
        <v>81.482153477073183</v>
      </c>
      <c r="M38" s="3"/>
      <c r="N38" s="3"/>
    </row>
    <row r="39" spans="1:14" ht="15.75" customHeight="1">
      <c r="A39" s="3"/>
      <c r="B39" s="3"/>
      <c r="C39" s="17" t="s">
        <v>135</v>
      </c>
      <c r="D39" s="18">
        <v>36400</v>
      </c>
      <c r="E39" s="18">
        <v>22250</v>
      </c>
      <c r="F39" s="19">
        <v>2412.85</v>
      </c>
      <c r="G39" s="23">
        <f t="shared" si="1"/>
        <v>-4.3363994743758183E-2</v>
      </c>
      <c r="H39" s="23">
        <f t="shared" si="2"/>
        <v>-4.5064377682403456E-2</v>
      </c>
      <c r="I39" s="23">
        <f t="shared" si="3"/>
        <v>-5.0431325976875163E-3</v>
      </c>
      <c r="J39" s="24">
        <f t="shared" si="6"/>
        <v>90.43478260869567</v>
      </c>
      <c r="K39" s="24">
        <f t="shared" si="4"/>
        <v>58.322411533420691</v>
      </c>
      <c r="L39" s="24">
        <f t="shared" si="5"/>
        <v>81.071228172743176</v>
      </c>
      <c r="M39" s="3"/>
      <c r="N39" s="3"/>
    </row>
    <row r="40" spans="1:14" ht="15.75" customHeight="1">
      <c r="A40" s="3"/>
      <c r="B40" s="3"/>
      <c r="C40" s="17" t="s">
        <v>136</v>
      </c>
      <c r="D40" s="18">
        <v>36450</v>
      </c>
      <c r="E40" s="18">
        <v>20650</v>
      </c>
      <c r="F40" s="19">
        <v>2476.86</v>
      </c>
      <c r="G40" s="23">
        <f t="shared" si="1"/>
        <v>1.3736263736263687E-3</v>
      </c>
      <c r="H40" s="23">
        <f t="shared" si="2"/>
        <v>-7.1910112359550582E-2</v>
      </c>
      <c r="I40" s="23">
        <f t="shared" si="3"/>
        <v>2.6528793750129509E-2</v>
      </c>
      <c r="J40" s="24">
        <f t="shared" si="6"/>
        <v>90.559006211180147</v>
      </c>
      <c r="K40" s="24">
        <f t="shared" si="4"/>
        <v>54.128440366972463</v>
      </c>
      <c r="L40" s="24">
        <f t="shared" si="5"/>
        <v>83.221950064007572</v>
      </c>
      <c r="M40" s="3"/>
      <c r="N40" s="3"/>
    </row>
    <row r="41" spans="1:14" ht="15.75" customHeight="1">
      <c r="A41" s="3"/>
      <c r="B41" s="3"/>
      <c r="C41" s="17" t="s">
        <v>137</v>
      </c>
      <c r="D41" s="18">
        <v>41000</v>
      </c>
      <c r="E41" s="18">
        <v>21600</v>
      </c>
      <c r="F41" s="19">
        <v>2501.5300000000002</v>
      </c>
      <c r="G41" s="23">
        <f t="shared" si="1"/>
        <v>0.1248285322359397</v>
      </c>
      <c r="H41" s="23">
        <f t="shared" si="2"/>
        <v>4.6004842615012143E-2</v>
      </c>
      <c r="I41" s="23">
        <f t="shared" si="3"/>
        <v>9.960191532827789E-3</v>
      </c>
      <c r="J41" s="24">
        <f t="shared" si="6"/>
        <v>101.86335403726711</v>
      </c>
      <c r="K41" s="24">
        <f t="shared" si="4"/>
        <v>56.6186107470511</v>
      </c>
      <c r="L41" s="24">
        <f t="shared" si="5"/>
        <v>84.050856626380522</v>
      </c>
      <c r="M41" s="3"/>
      <c r="N41" s="3"/>
    </row>
    <row r="42" spans="1:14" ht="15.75" customHeight="1">
      <c r="A42" s="3"/>
      <c r="B42" s="3"/>
      <c r="C42" s="17" t="s">
        <v>138</v>
      </c>
      <c r="D42" s="18">
        <v>38300</v>
      </c>
      <c r="E42" s="18">
        <v>20750</v>
      </c>
      <c r="F42" s="19">
        <v>2577.12</v>
      </c>
      <c r="G42" s="23">
        <f t="shared" si="1"/>
        <v>-6.5853658536585313E-2</v>
      </c>
      <c r="H42" s="23">
        <f t="shared" si="2"/>
        <v>-3.935185185185186E-2</v>
      </c>
      <c r="I42" s="23">
        <f t="shared" si="3"/>
        <v>3.0217506885785728E-2</v>
      </c>
      <c r="J42" s="24">
        <f t="shared" si="6"/>
        <v>95.155279503105632</v>
      </c>
      <c r="K42" s="24">
        <f t="shared" si="4"/>
        <v>54.390563564875478</v>
      </c>
      <c r="L42" s="24">
        <f t="shared" si="5"/>
        <v>86.59066396524436</v>
      </c>
      <c r="M42" s="3"/>
      <c r="N42" s="3"/>
    </row>
    <row r="43" spans="1:14" ht="15.75" customHeight="1">
      <c r="A43" s="3"/>
      <c r="B43" s="3"/>
      <c r="C43" s="17" t="s">
        <v>139</v>
      </c>
      <c r="D43" s="18">
        <v>38100</v>
      </c>
      <c r="E43" s="18">
        <v>18640</v>
      </c>
      <c r="F43" s="19">
        <v>2564.2800000000002</v>
      </c>
      <c r="G43" s="23">
        <f t="shared" si="1"/>
        <v>-5.2219321148825326E-3</v>
      </c>
      <c r="H43" s="23">
        <f t="shared" si="2"/>
        <v>-0.10168674698795177</v>
      </c>
      <c r="I43" s="23">
        <f t="shared" si="3"/>
        <v>-4.9823058297633338E-3</v>
      </c>
      <c r="J43" s="24">
        <f t="shared" si="6"/>
        <v>94.658385093167738</v>
      </c>
      <c r="K43" s="24">
        <f t="shared" si="4"/>
        <v>48.859764089121875</v>
      </c>
      <c r="L43" s="24">
        <f t="shared" si="5"/>
        <v>86.159242795367248</v>
      </c>
      <c r="M43" s="3"/>
      <c r="N43" s="3"/>
    </row>
    <row r="44" spans="1:14" ht="15.75" customHeight="1">
      <c r="A44" s="3"/>
      <c r="B44" s="3"/>
      <c r="C44" s="17" t="s">
        <v>140</v>
      </c>
      <c r="D44" s="18">
        <v>37400</v>
      </c>
      <c r="E44" s="18">
        <v>14610</v>
      </c>
      <c r="F44" s="19">
        <v>2632.58</v>
      </c>
      <c r="G44" s="23">
        <f t="shared" si="1"/>
        <v>-1.8372703412073532E-2</v>
      </c>
      <c r="H44" s="23">
        <f t="shared" si="2"/>
        <v>-0.21620171673819744</v>
      </c>
      <c r="I44" s="23">
        <f t="shared" si="3"/>
        <v>2.6635156847146124E-2</v>
      </c>
      <c r="J44" s="24">
        <f t="shared" si="6"/>
        <v>92.919254658385128</v>
      </c>
      <c r="K44" s="24">
        <f t="shared" si="4"/>
        <v>38.296199213630395</v>
      </c>
      <c r="L44" s="24">
        <f t="shared" si="5"/>
        <v>88.454107741053193</v>
      </c>
      <c r="M44" s="3"/>
      <c r="N44" s="3"/>
    </row>
    <row r="45" spans="1:14" ht="15.75" customHeight="1">
      <c r="A45" s="3"/>
      <c r="B45" s="3"/>
      <c r="C45" s="17" t="s">
        <v>141</v>
      </c>
      <c r="D45" s="18">
        <v>35500</v>
      </c>
      <c r="E45" s="18">
        <v>14530</v>
      </c>
      <c r="F45" s="19">
        <v>2556.27</v>
      </c>
      <c r="G45" s="23">
        <f t="shared" si="1"/>
        <v>-5.0802139037433136E-2</v>
      </c>
      <c r="H45" s="23">
        <f t="shared" si="2"/>
        <v>-5.4757015742642468E-3</v>
      </c>
      <c r="I45" s="23">
        <f t="shared" si="3"/>
        <v>-2.898677343138667E-2</v>
      </c>
      <c r="J45" s="24">
        <f t="shared" si="6"/>
        <v>88.198757763975195</v>
      </c>
      <c r="K45" s="24">
        <f t="shared" si="4"/>
        <v>38.086500655307979</v>
      </c>
      <c r="L45" s="24">
        <f t="shared" si="5"/>
        <v>85.890108560887825</v>
      </c>
      <c r="M45" s="3"/>
      <c r="N45" s="3"/>
    </row>
    <row r="46" spans="1:14" ht="15.75" customHeight="1">
      <c r="A46" s="3"/>
      <c r="B46" s="3"/>
      <c r="C46" s="17" t="s">
        <v>142</v>
      </c>
      <c r="D46" s="18">
        <v>36250</v>
      </c>
      <c r="E46" s="18">
        <v>14030</v>
      </c>
      <c r="F46" s="19">
        <v>2465.0700000000002</v>
      </c>
      <c r="G46" s="23">
        <f t="shared" si="1"/>
        <v>2.1126760563380254E-2</v>
      </c>
      <c r="H46" s="23">
        <f t="shared" si="2"/>
        <v>-3.4411562284927699E-2</v>
      </c>
      <c r="I46" s="23">
        <f t="shared" si="3"/>
        <v>-3.5676982478376584E-2</v>
      </c>
      <c r="J46" s="24">
        <f t="shared" si="6"/>
        <v>90.062111801242267</v>
      </c>
      <c r="K46" s="24">
        <f t="shared" si="4"/>
        <v>36.775884665792908</v>
      </c>
      <c r="L46" s="24">
        <f t="shared" si="5"/>
        <v>82.825808662695167</v>
      </c>
      <c r="M46" s="3"/>
      <c r="N46" s="3"/>
    </row>
    <row r="47" spans="1:14" ht="15.75" customHeight="1">
      <c r="A47" s="3"/>
      <c r="B47" s="3"/>
      <c r="C47" s="17" t="s">
        <v>143</v>
      </c>
      <c r="D47" s="18">
        <v>33400</v>
      </c>
      <c r="E47" s="18">
        <v>13160</v>
      </c>
      <c r="F47" s="19">
        <v>2277.9899999999998</v>
      </c>
      <c r="G47" s="23">
        <f t="shared" ref="G47:G73" si="7">IFERROR(D47/D46-1,"")</f>
        <v>-7.8620689655172438E-2</v>
      </c>
      <c r="H47" s="23">
        <f t="shared" ref="H47:H73" si="8">IFERROR(E47/E46-1,"")</f>
        <v>-6.2009978617248773E-2</v>
      </c>
      <c r="I47" s="23">
        <f t="shared" ref="I47:I73" si="9">IFERROR(F47/F46-1,"")</f>
        <v>-7.5892368168044011E-2</v>
      </c>
      <c r="J47" s="24">
        <f t="shared" ref="J47:J73" si="10">IFERROR(J46*(1+G47),"")</f>
        <v>82.981366459627353</v>
      </c>
      <c r="K47" s="24">
        <f t="shared" ref="K47:K73" si="11">IFERROR(K46*(1+H47),"")</f>
        <v>34.495412844036686</v>
      </c>
      <c r="L47" s="24">
        <f t="shared" ref="L47:L73" si="12">IFERROR(L46*(1+I47),"")</f>
        <v>76.539961897849935</v>
      </c>
      <c r="M47" s="3"/>
      <c r="N47" s="3"/>
    </row>
    <row r="48" spans="1:14" ht="15.75" customHeight="1">
      <c r="A48" s="3"/>
      <c r="B48" s="3"/>
      <c r="C48" s="17" t="s">
        <v>144</v>
      </c>
      <c r="D48" s="18">
        <v>35850</v>
      </c>
      <c r="E48" s="18">
        <v>16210</v>
      </c>
      <c r="F48" s="19">
        <v>2535.29</v>
      </c>
      <c r="G48" s="23">
        <f t="shared" si="7"/>
        <v>7.3353293413173759E-2</v>
      </c>
      <c r="H48" s="23">
        <f t="shared" si="8"/>
        <v>0.23176291793313064</v>
      </c>
      <c r="I48" s="23">
        <f t="shared" si="9"/>
        <v>0.11295045193350295</v>
      </c>
      <c r="J48" s="24">
        <f t="shared" si="10"/>
        <v>89.068322981366492</v>
      </c>
      <c r="K48" s="24">
        <f t="shared" si="11"/>
        <v>42.490170380078624</v>
      </c>
      <c r="L48" s="24">
        <f t="shared" si="12"/>
        <v>85.185185185185176</v>
      </c>
      <c r="M48" s="3"/>
      <c r="N48" s="3"/>
    </row>
    <row r="49" spans="1:14" ht="15.75" customHeight="1">
      <c r="A49" s="3"/>
      <c r="B49" s="3"/>
      <c r="C49" s="17" t="s">
        <v>145</v>
      </c>
      <c r="D49" s="18">
        <v>34900</v>
      </c>
      <c r="E49" s="18">
        <v>15020</v>
      </c>
      <c r="F49" s="19">
        <v>2655.28</v>
      </c>
      <c r="G49" s="23">
        <f t="shared" si="7"/>
        <v>-2.6499302649930279E-2</v>
      </c>
      <c r="H49" s="23">
        <f t="shared" si="8"/>
        <v>-7.3411474398519472E-2</v>
      </c>
      <c r="I49" s="23">
        <f t="shared" si="9"/>
        <v>4.7327919094068305E-2</v>
      </c>
      <c r="J49" s="24">
        <f t="shared" si="10"/>
        <v>86.708074534161526</v>
      </c>
      <c r="K49" s="24">
        <f t="shared" si="11"/>
        <v>39.370904325032754</v>
      </c>
      <c r="L49" s="24">
        <f t="shared" si="12"/>
        <v>89.216822737642843</v>
      </c>
      <c r="M49" s="3"/>
      <c r="N49" s="3"/>
    </row>
    <row r="50" spans="1:14" ht="15.75" customHeight="1">
      <c r="A50" s="3"/>
      <c r="B50" s="3"/>
      <c r="C50" s="17" t="s">
        <v>146</v>
      </c>
      <c r="D50" s="18">
        <v>34650</v>
      </c>
      <c r="E50" s="18">
        <v>15110</v>
      </c>
      <c r="F50" s="19">
        <v>2497.09</v>
      </c>
      <c r="G50" s="23">
        <f t="shared" si="7"/>
        <v>-7.1633237822349427E-3</v>
      </c>
      <c r="H50" s="23">
        <f t="shared" si="8"/>
        <v>5.9920106524633532E-3</v>
      </c>
      <c r="I50" s="23">
        <f t="shared" si="9"/>
        <v>-5.9575637974149664E-2</v>
      </c>
      <c r="J50" s="24">
        <f t="shared" si="10"/>
        <v>86.086956521739168</v>
      </c>
      <c r="K50" s="24">
        <f t="shared" si="11"/>
        <v>39.606815203145466</v>
      </c>
      <c r="L50" s="24">
        <f t="shared" si="12"/>
        <v>83.901673605021145</v>
      </c>
      <c r="M50" s="3"/>
      <c r="N50" s="3"/>
    </row>
    <row r="51" spans="1:14" ht="15.75" customHeight="1">
      <c r="A51" s="3"/>
      <c r="B51" s="3"/>
      <c r="C51" s="17" t="s">
        <v>147</v>
      </c>
      <c r="D51" s="18">
        <v>34700</v>
      </c>
      <c r="E51" s="18">
        <v>15950</v>
      </c>
      <c r="F51" s="19">
        <v>2642.36</v>
      </c>
      <c r="G51" s="23">
        <f t="shared" si="7"/>
        <v>1.4430014430013571E-3</v>
      </c>
      <c r="H51" s="23">
        <f t="shared" si="8"/>
        <v>5.5592322964924001E-2</v>
      </c>
      <c r="I51" s="23">
        <f t="shared" si="9"/>
        <v>5.8175716534045518E-2</v>
      </c>
      <c r="J51" s="24">
        <f t="shared" si="10"/>
        <v>86.211180124223631</v>
      </c>
      <c r="K51" s="24">
        <f t="shared" si="11"/>
        <v>41.808650065530792</v>
      </c>
      <c r="L51" s="24">
        <f t="shared" si="12"/>
        <v>88.782713585398866</v>
      </c>
      <c r="M51" s="3"/>
      <c r="N51" s="3"/>
    </row>
    <row r="52" spans="1:14" ht="15.75" customHeight="1">
      <c r="A52" s="3"/>
      <c r="B52" s="3"/>
      <c r="C52" s="17" t="s">
        <v>148</v>
      </c>
      <c r="D52" s="18">
        <v>33000</v>
      </c>
      <c r="E52" s="18">
        <v>14950</v>
      </c>
      <c r="F52" s="19">
        <v>2746.63</v>
      </c>
      <c r="G52" s="23">
        <f t="shared" si="7"/>
        <v>-4.8991354466858761E-2</v>
      </c>
      <c r="H52" s="23">
        <f t="shared" si="8"/>
        <v>-6.2695924764890276E-2</v>
      </c>
      <c r="I52" s="23">
        <f t="shared" si="9"/>
        <v>3.9460936435610661E-2</v>
      </c>
      <c r="J52" s="24">
        <f t="shared" si="10"/>
        <v>81.987577639751578</v>
      </c>
      <c r="K52" s="24">
        <f t="shared" si="11"/>
        <v>39.187418086500649</v>
      </c>
      <c r="L52" s="24">
        <f t="shared" si="12"/>
        <v>92.286162602773317</v>
      </c>
      <c r="M52" s="3"/>
      <c r="N52" s="3"/>
    </row>
    <row r="53" spans="1:14" ht="15.75" customHeight="1">
      <c r="A53" s="3"/>
      <c r="B53" s="3"/>
      <c r="C53" s="17" t="s">
        <v>149</v>
      </c>
      <c r="D53" s="18">
        <v>35450</v>
      </c>
      <c r="E53" s="18">
        <v>16480</v>
      </c>
      <c r="F53" s="19">
        <v>2692.06</v>
      </c>
      <c r="G53" s="23">
        <f t="shared" si="7"/>
        <v>7.4242424242424221E-2</v>
      </c>
      <c r="H53" s="23">
        <f t="shared" si="8"/>
        <v>0.10234113712374593</v>
      </c>
      <c r="I53" s="23">
        <f t="shared" si="9"/>
        <v>-1.9867983674539458E-2</v>
      </c>
      <c r="J53" s="24">
        <f t="shared" si="10"/>
        <v>88.074534161490703</v>
      </c>
      <c r="K53" s="24">
        <f t="shared" si="11"/>
        <v>43.197903014416774</v>
      </c>
      <c r="L53" s="24">
        <f t="shared" si="12"/>
        <v>90.452622630795517</v>
      </c>
      <c r="M53" s="3"/>
      <c r="N53" s="3"/>
    </row>
    <row r="54" spans="1:14" ht="15.75" customHeight="1">
      <c r="A54" s="3"/>
      <c r="B54" s="3"/>
      <c r="C54" s="17" t="s">
        <v>150</v>
      </c>
      <c r="D54" s="18">
        <v>33200</v>
      </c>
      <c r="E54" s="18">
        <v>14990</v>
      </c>
      <c r="F54" s="19">
        <v>2636.52</v>
      </c>
      <c r="G54" s="23">
        <f t="shared" si="7"/>
        <v>-6.3469675599435837E-2</v>
      </c>
      <c r="H54" s="23">
        <f t="shared" si="8"/>
        <v>-9.0412621359223344E-2</v>
      </c>
      <c r="I54" s="23">
        <f t="shared" si="9"/>
        <v>-2.0631040912906795E-2</v>
      </c>
      <c r="J54" s="24">
        <f t="shared" si="10"/>
        <v>82.484472049689458</v>
      </c>
      <c r="K54" s="24">
        <f t="shared" si="11"/>
        <v>39.292267365661857</v>
      </c>
      <c r="L54" s="24">
        <f t="shared" si="12"/>
        <v>88.586490872619862</v>
      </c>
      <c r="M54" s="3"/>
      <c r="N54" s="3"/>
    </row>
    <row r="55" spans="1:14" ht="15.75" customHeight="1">
      <c r="A55" s="3"/>
      <c r="B55" s="3"/>
      <c r="C55" s="17" t="s">
        <v>151</v>
      </c>
      <c r="D55" s="18">
        <v>32050</v>
      </c>
      <c r="E55" s="18">
        <v>15030</v>
      </c>
      <c r="F55" s="19">
        <v>2797.82</v>
      </c>
      <c r="G55" s="23">
        <f t="shared" si="7"/>
        <v>-3.4638554216867457E-2</v>
      </c>
      <c r="H55" s="23">
        <f t="shared" si="8"/>
        <v>2.6684456304202353E-3</v>
      </c>
      <c r="I55" s="23">
        <f t="shared" si="9"/>
        <v>6.117913006538922E-2</v>
      </c>
      <c r="J55" s="24">
        <f t="shared" si="10"/>
        <v>79.627329192546597</v>
      </c>
      <c r="K55" s="24">
        <f t="shared" si="11"/>
        <v>39.397116644823058</v>
      </c>
      <c r="L55" s="24">
        <f t="shared" si="12"/>
        <v>94.006135319752289</v>
      </c>
      <c r="M55" s="3"/>
      <c r="N55" s="3"/>
    </row>
    <row r="56" spans="1:14" ht="15.75" customHeight="1">
      <c r="A56" s="3"/>
      <c r="B56" s="3"/>
      <c r="C56" s="17" t="s">
        <v>152</v>
      </c>
      <c r="D56" s="18">
        <v>33450</v>
      </c>
      <c r="E56" s="18">
        <v>19850</v>
      </c>
      <c r="F56" s="19">
        <v>2770.69</v>
      </c>
      <c r="G56" s="23">
        <f t="shared" si="7"/>
        <v>4.3681747269890714E-2</v>
      </c>
      <c r="H56" s="23">
        <f t="shared" si="8"/>
        <v>0.32069194943446444</v>
      </c>
      <c r="I56" s="23">
        <f t="shared" si="9"/>
        <v>-9.6968353932704865E-3</v>
      </c>
      <c r="J56" s="24">
        <f t="shared" si="10"/>
        <v>83.105590062111801</v>
      </c>
      <c r="K56" s="24">
        <f t="shared" si="11"/>
        <v>52.031454783748352</v>
      </c>
      <c r="L56" s="24">
        <f t="shared" si="12"/>
        <v>93.094573299599134</v>
      </c>
      <c r="M56" s="3"/>
      <c r="N56" s="3"/>
    </row>
    <row r="57" spans="1:14" ht="15.75" customHeight="1">
      <c r="A57" s="3"/>
      <c r="B57" s="3"/>
      <c r="C57" s="17" t="s">
        <v>153</v>
      </c>
      <c r="D57" s="18">
        <v>32000</v>
      </c>
      <c r="E57" s="18">
        <v>20500</v>
      </c>
      <c r="F57" s="19">
        <v>2674.31</v>
      </c>
      <c r="G57" s="23">
        <f t="shared" si="7"/>
        <v>-4.3348281016442503E-2</v>
      </c>
      <c r="H57" s="23">
        <f t="shared" si="8"/>
        <v>3.2745591939546514E-2</v>
      </c>
      <c r="I57" s="23">
        <f t="shared" si="9"/>
        <v>-3.4785558831915586E-2</v>
      </c>
      <c r="J57" s="24">
        <f t="shared" si="10"/>
        <v>79.503105590062106</v>
      </c>
      <c r="K57" s="24">
        <f t="shared" si="11"/>
        <v>53.735255570117943</v>
      </c>
      <c r="L57" s="24">
        <f t="shared" si="12"/>
        <v>89.856226543153852</v>
      </c>
      <c r="M57" s="3"/>
      <c r="N57" s="3"/>
    </row>
    <row r="58" spans="1:14" ht="15.75" customHeight="1">
      <c r="A58" s="3"/>
      <c r="B58" s="3"/>
      <c r="C58" s="17" t="s">
        <v>154</v>
      </c>
      <c r="D58" s="18">
        <v>30500</v>
      </c>
      <c r="E58" s="18">
        <v>18340</v>
      </c>
      <c r="F58" s="19">
        <v>2593.27</v>
      </c>
      <c r="G58" s="23">
        <f t="shared" si="7"/>
        <v>-4.6875E-2</v>
      </c>
      <c r="H58" s="23">
        <f t="shared" si="8"/>
        <v>-0.10536585365853657</v>
      </c>
      <c r="I58" s="23">
        <f t="shared" si="9"/>
        <v>-3.0303143614614614E-2</v>
      </c>
      <c r="J58" s="24">
        <f t="shared" si="10"/>
        <v>75.776397515527947</v>
      </c>
      <c r="K58" s="24">
        <f t="shared" si="11"/>
        <v>48.073394495412835</v>
      </c>
      <c r="L58" s="24">
        <f t="shared" si="12"/>
        <v>87.133300405549321</v>
      </c>
      <c r="M58" s="3"/>
      <c r="N58" s="3"/>
    </row>
    <row r="59" spans="1:14" ht="15.75" customHeight="1">
      <c r="A59" s="3"/>
      <c r="B59" s="3"/>
      <c r="C59" s="17" t="s">
        <v>155</v>
      </c>
      <c r="D59" s="18">
        <v>27900</v>
      </c>
      <c r="E59" s="18">
        <v>17770</v>
      </c>
      <c r="F59" s="19">
        <v>2556.15</v>
      </c>
      <c r="G59" s="23">
        <f t="shared" si="7"/>
        <v>-8.5245901639344313E-2</v>
      </c>
      <c r="H59" s="23">
        <f t="shared" si="8"/>
        <v>-3.1079607415485322E-2</v>
      </c>
      <c r="I59" s="23">
        <f t="shared" si="9"/>
        <v>-1.4313974248728378E-2</v>
      </c>
      <c r="J59" s="24">
        <f t="shared" si="10"/>
        <v>69.31677018633539</v>
      </c>
      <c r="K59" s="24">
        <f t="shared" si="11"/>
        <v>46.579292267365652</v>
      </c>
      <c r="L59" s="24">
        <f t="shared" si="12"/>
        <v>85.88607658733757</v>
      </c>
      <c r="M59" s="3"/>
      <c r="N59" s="3"/>
    </row>
    <row r="60" spans="1:14" ht="15.75" customHeight="1">
      <c r="A60" s="3"/>
      <c r="B60" s="3"/>
      <c r="C60" s="17" t="s">
        <v>156</v>
      </c>
      <c r="D60" s="18">
        <v>27450</v>
      </c>
      <c r="E60" s="18">
        <v>19480</v>
      </c>
      <c r="F60" s="19">
        <v>2455.91</v>
      </c>
      <c r="G60" s="23">
        <f t="shared" si="7"/>
        <v>-1.6129032258064502E-2</v>
      </c>
      <c r="H60" s="23">
        <f t="shared" si="8"/>
        <v>9.6229600450197017E-2</v>
      </c>
      <c r="I60" s="23">
        <f t="shared" si="9"/>
        <v>-3.9215226023512018E-2</v>
      </c>
      <c r="J60" s="24">
        <f t="shared" si="10"/>
        <v>68.198757763975138</v>
      </c>
      <c r="K60" s="24">
        <f t="shared" si="11"/>
        <v>51.0615989515072</v>
      </c>
      <c r="L60" s="24">
        <f t="shared" si="12"/>
        <v>82.51803468169247</v>
      </c>
      <c r="M60" s="3"/>
      <c r="N60" s="3"/>
    </row>
    <row r="61" spans="1:14" ht="15.75" customHeight="1">
      <c r="A61" s="3"/>
      <c r="B61" s="3"/>
      <c r="C61" s="17" t="s">
        <v>157</v>
      </c>
      <c r="D61" s="18">
        <v>25400</v>
      </c>
      <c r="E61" s="18">
        <v>17350</v>
      </c>
      <c r="F61" s="19">
        <v>2399.4899999999998</v>
      </c>
      <c r="G61" s="23">
        <f t="shared" si="7"/>
        <v>-7.4681238615664891E-2</v>
      </c>
      <c r="H61" s="23">
        <f t="shared" si="8"/>
        <v>-0.10934291581108835</v>
      </c>
      <c r="I61" s="23">
        <f t="shared" si="9"/>
        <v>-2.2973154553709296E-2</v>
      </c>
      <c r="J61" s="24">
        <f t="shared" si="10"/>
        <v>63.10559006211178</v>
      </c>
      <c r="K61" s="24">
        <f t="shared" si="11"/>
        <v>45.478374836172989</v>
      </c>
      <c r="L61" s="24">
        <f t="shared" si="12"/>
        <v>80.622335117481612</v>
      </c>
      <c r="M61" s="3"/>
      <c r="N61" s="3"/>
    </row>
    <row r="62" spans="1:14" ht="15.75" customHeight="1">
      <c r="A62" s="3"/>
      <c r="B62" s="3"/>
      <c r="C62" s="17" t="s">
        <v>158</v>
      </c>
      <c r="D62" s="18">
        <v>31050</v>
      </c>
      <c r="E62" s="18">
        <v>17260</v>
      </c>
      <c r="F62" s="19">
        <v>2517.37</v>
      </c>
      <c r="G62" s="23">
        <f t="shared" si="7"/>
        <v>0.22244094488188981</v>
      </c>
      <c r="H62" s="23">
        <f t="shared" si="8"/>
        <v>-5.1873198847262048E-3</v>
      </c>
      <c r="I62" s="23">
        <f t="shared" si="9"/>
        <v>4.9127106176729329E-2</v>
      </c>
      <c r="J62" s="24">
        <f t="shared" si="10"/>
        <v>77.142857142857125</v>
      </c>
      <c r="K62" s="24">
        <f t="shared" si="11"/>
        <v>45.242463958060277</v>
      </c>
      <c r="L62" s="24">
        <f t="shared" si="12"/>
        <v>84.58307713501398</v>
      </c>
      <c r="M62" s="3"/>
      <c r="N62" s="3"/>
    </row>
    <row r="63" spans="1:14" ht="15.75" customHeight="1">
      <c r="A63" s="3"/>
      <c r="B63" s="3"/>
      <c r="C63" s="17" t="s">
        <v>159</v>
      </c>
      <c r="D63" s="18">
        <v>33500</v>
      </c>
      <c r="E63" s="18">
        <v>17570</v>
      </c>
      <c r="F63" s="19">
        <v>2532.7800000000002</v>
      </c>
      <c r="G63" s="23">
        <f t="shared" si="7"/>
        <v>7.8904991948470116E-2</v>
      </c>
      <c r="H63" s="23">
        <f t="shared" si="8"/>
        <v>1.7960602549246918E-2</v>
      </c>
      <c r="I63" s="23">
        <f t="shared" si="9"/>
        <v>6.1214680400578647E-3</v>
      </c>
      <c r="J63" s="24">
        <f t="shared" si="10"/>
        <v>83.22981366459625</v>
      </c>
      <c r="K63" s="24">
        <f t="shared" si="11"/>
        <v>46.055045871559628</v>
      </c>
      <c r="L63" s="24">
        <f t="shared" si="12"/>
        <v>85.100849738425723</v>
      </c>
      <c r="M63" s="3"/>
      <c r="N63" s="3"/>
    </row>
    <row r="64" spans="1:14" ht="15.75" customHeight="1">
      <c r="A64" s="3"/>
      <c r="B64" s="3"/>
      <c r="C64" s="17" t="s">
        <v>160</v>
      </c>
      <c r="D64" s="18">
        <v>35950</v>
      </c>
      <c r="E64" s="18">
        <v>16960</v>
      </c>
      <c r="F64" s="19">
        <v>2481.12</v>
      </c>
      <c r="G64" s="23">
        <f t="shared" si="7"/>
        <v>7.3134328358208878E-2</v>
      </c>
      <c r="H64" s="23">
        <f t="shared" si="8"/>
        <v>-3.4718269778030719E-2</v>
      </c>
      <c r="I64" s="23">
        <f t="shared" si="9"/>
        <v>-2.0396560301329081E-2</v>
      </c>
      <c r="J64" s="24">
        <f t="shared" si="10"/>
        <v>89.316770186335376</v>
      </c>
      <c r="K64" s="24">
        <f t="shared" si="11"/>
        <v>44.456094364351237</v>
      </c>
      <c r="L64" s="24">
        <f t="shared" si="12"/>
        <v>83.365085125041574</v>
      </c>
      <c r="M64" s="3"/>
      <c r="N64" s="3"/>
    </row>
    <row r="65" spans="1:14" ht="15.75" customHeight="1">
      <c r="A65" s="3"/>
      <c r="B65" s="3"/>
      <c r="C65" s="17" t="s">
        <v>161</v>
      </c>
      <c r="D65" s="18">
        <v>41600</v>
      </c>
      <c r="E65" s="18">
        <v>18250</v>
      </c>
      <c r="F65" s="19">
        <v>2556.61</v>
      </c>
      <c r="G65" s="23">
        <f t="shared" si="7"/>
        <v>0.15716272600834502</v>
      </c>
      <c r="H65" s="23">
        <f t="shared" si="8"/>
        <v>7.6061320754716943E-2</v>
      </c>
      <c r="I65" s="23">
        <f t="shared" si="9"/>
        <v>3.0425775456245585E-2</v>
      </c>
      <c r="J65" s="24">
        <f t="shared" si="10"/>
        <v>103.35403726708073</v>
      </c>
      <c r="K65" s="24">
        <f t="shared" si="11"/>
        <v>47.837483617300123</v>
      </c>
      <c r="L65" s="24">
        <f t="shared" si="12"/>
        <v>85.901532485946888</v>
      </c>
      <c r="M65" s="3"/>
      <c r="N65" s="3"/>
    </row>
    <row r="66" spans="1:14" ht="15.75" customHeight="1">
      <c r="A66" s="3"/>
      <c r="B66" s="3"/>
      <c r="C66" s="17" t="s">
        <v>162</v>
      </c>
      <c r="D66" s="18">
        <v>63800</v>
      </c>
      <c r="E66" s="18">
        <v>22650</v>
      </c>
      <c r="F66" s="19">
        <v>2697.67</v>
      </c>
      <c r="G66" s="23">
        <f t="shared" si="7"/>
        <v>0.53365384615384626</v>
      </c>
      <c r="H66" s="23">
        <f t="shared" si="8"/>
        <v>0.2410958904109588</v>
      </c>
      <c r="I66" s="23">
        <f t="shared" si="9"/>
        <v>5.5174625773974029E-2</v>
      </c>
      <c r="J66" s="24">
        <f t="shared" si="10"/>
        <v>158.50931677018633</v>
      </c>
      <c r="K66" s="24">
        <f t="shared" si="11"/>
        <v>59.370904325032747</v>
      </c>
      <c r="L66" s="24">
        <f t="shared" si="12"/>
        <v>90.641117394269884</v>
      </c>
      <c r="M66" s="3"/>
      <c r="N66" s="3"/>
    </row>
    <row r="67" spans="1:14" ht="15.75" customHeight="1">
      <c r="A67" s="3"/>
      <c r="B67" s="3"/>
      <c r="C67" s="17" t="s">
        <v>163</v>
      </c>
      <c r="D67" s="18">
        <v>78500</v>
      </c>
      <c r="E67" s="18">
        <v>20750</v>
      </c>
      <c r="F67" s="19">
        <v>3071.7</v>
      </c>
      <c r="G67" s="23">
        <f t="shared" si="7"/>
        <v>0.23040752351097171</v>
      </c>
      <c r="H67" s="23">
        <f t="shared" si="8"/>
        <v>-8.3885209713024267E-2</v>
      </c>
      <c r="I67" s="23">
        <f t="shared" si="9"/>
        <v>0.13864927882209455</v>
      </c>
      <c r="J67" s="24">
        <f t="shared" si="10"/>
        <v>195.03105590062111</v>
      </c>
      <c r="K67" s="24">
        <f t="shared" si="11"/>
        <v>54.390563564875478</v>
      </c>
      <c r="L67" s="24">
        <f t="shared" si="12"/>
        <v>103.20844295261421</v>
      </c>
      <c r="M67" s="3"/>
      <c r="N67" s="3"/>
    </row>
    <row r="68" spans="1:14" ht="15.75" customHeight="1">
      <c r="A68" s="3"/>
      <c r="B68" s="3"/>
      <c r="C68" s="17" t="s">
        <v>164</v>
      </c>
      <c r="D68" s="18">
        <v>67500</v>
      </c>
      <c r="E68" s="18">
        <v>19350</v>
      </c>
      <c r="F68" s="19">
        <v>3245.44</v>
      </c>
      <c r="G68" s="23">
        <f t="shared" si="7"/>
        <v>-0.14012738853503182</v>
      </c>
      <c r="H68" s="23">
        <f t="shared" si="8"/>
        <v>-6.7469879518072262E-2</v>
      </c>
      <c r="I68" s="23">
        <f t="shared" si="9"/>
        <v>5.6561513168603694E-2</v>
      </c>
      <c r="J68" s="24">
        <f t="shared" si="10"/>
        <v>167.70186335403727</v>
      </c>
      <c r="K68" s="24">
        <f t="shared" si="11"/>
        <v>50.720838794233281</v>
      </c>
      <c r="L68" s="24">
        <f t="shared" si="12"/>
        <v>109.04606865778958</v>
      </c>
      <c r="M68" s="3"/>
      <c r="N68" s="3"/>
    </row>
    <row r="69" spans="1:14" ht="15.75" customHeight="1">
      <c r="A69" s="3"/>
      <c r="B69" s="3"/>
      <c r="C69" s="17" t="s">
        <v>165</v>
      </c>
      <c r="D69" s="18">
        <v>62100</v>
      </c>
      <c r="E69" s="18">
        <v>18670</v>
      </c>
      <c r="F69" s="19">
        <v>3186.01</v>
      </c>
      <c r="G69" s="23">
        <f t="shared" si="7"/>
        <v>-7.999999999999996E-2</v>
      </c>
      <c r="H69" s="23">
        <f t="shared" si="8"/>
        <v>-3.5142118863049077E-2</v>
      </c>
      <c r="I69" s="23">
        <f t="shared" si="9"/>
        <v>-1.8311846775783791E-2</v>
      </c>
      <c r="J69" s="24">
        <f t="shared" si="10"/>
        <v>154.28571428571431</v>
      </c>
      <c r="K69" s="24">
        <f t="shared" si="11"/>
        <v>48.938401048492786</v>
      </c>
      <c r="L69" s="24">
        <f t="shared" si="12"/>
        <v>107.04923375702653</v>
      </c>
      <c r="M69" s="3"/>
      <c r="N69" s="3"/>
    </row>
    <row r="70" spans="1:14" ht="15.75" customHeight="1">
      <c r="A70" s="3"/>
      <c r="B70" s="3"/>
      <c r="C70" s="17" t="s">
        <v>166</v>
      </c>
      <c r="D70" s="18">
        <v>54400</v>
      </c>
      <c r="E70" s="18">
        <v>18400</v>
      </c>
      <c r="F70" s="19">
        <v>3424.6</v>
      </c>
      <c r="G70" s="23">
        <f t="shared" si="7"/>
        <v>-0.12399355877616747</v>
      </c>
      <c r="H70" s="23">
        <f t="shared" si="8"/>
        <v>-1.4461703267273696E-2</v>
      </c>
      <c r="I70" s="23">
        <f t="shared" si="9"/>
        <v>7.4886770600217645E-2</v>
      </c>
      <c r="J70" s="24">
        <f t="shared" si="10"/>
        <v>135.15527950310562</v>
      </c>
      <c r="K70" s="24">
        <f t="shared" si="11"/>
        <v>48.23066841415465</v>
      </c>
      <c r="L70" s="24">
        <f t="shared" si="12"/>
        <v>115.06580516831805</v>
      </c>
      <c r="M70" s="3"/>
      <c r="N70" s="3"/>
    </row>
    <row r="71" spans="1:14" ht="15.75" customHeight="1">
      <c r="A71" s="3"/>
      <c r="B71" s="3"/>
      <c r="C71" s="17" t="s">
        <v>167</v>
      </c>
      <c r="D71" s="18">
        <v>70300</v>
      </c>
      <c r="E71" s="18">
        <v>18690</v>
      </c>
      <c r="F71" s="19">
        <v>4107.5</v>
      </c>
      <c r="G71" s="23">
        <f t="shared" si="7"/>
        <v>0.29227941176470584</v>
      </c>
      <c r="H71" s="23">
        <f t="shared" si="8"/>
        <v>1.5760869565217384E-2</v>
      </c>
      <c r="I71" s="23">
        <f t="shared" si="9"/>
        <v>0.19941015009052165</v>
      </c>
      <c r="J71" s="24">
        <f t="shared" si="10"/>
        <v>174.65838509316774</v>
      </c>
      <c r="K71" s="24">
        <f t="shared" si="11"/>
        <v>48.990825688073393</v>
      </c>
      <c r="L71" s="24">
        <f t="shared" si="12"/>
        <v>138.01109464721907</v>
      </c>
      <c r="M71" s="3"/>
      <c r="N71" s="3"/>
    </row>
    <row r="72" spans="1:14" ht="15.75" customHeight="1">
      <c r="A72" s="3"/>
      <c r="B72" s="3"/>
      <c r="C72" s="17" t="s">
        <v>168</v>
      </c>
      <c r="D72" s="18">
        <v>67000</v>
      </c>
      <c r="E72" s="18">
        <v>19320</v>
      </c>
      <c r="F72" s="19">
        <v>3926.59</v>
      </c>
      <c r="G72" s="23">
        <f t="shared" si="7"/>
        <v>-4.6941678520625918E-2</v>
      </c>
      <c r="H72" s="23">
        <f t="shared" si="8"/>
        <v>3.3707865168539408E-2</v>
      </c>
      <c r="I72" s="23">
        <f t="shared" si="9"/>
        <v>-4.4043822276323752E-2</v>
      </c>
      <c r="J72" s="24">
        <f t="shared" si="10"/>
        <v>166.45962732919259</v>
      </c>
      <c r="K72" s="24">
        <f t="shared" si="11"/>
        <v>50.642201834862391</v>
      </c>
      <c r="L72" s="24">
        <f t="shared" si="12"/>
        <v>131.93255852241606</v>
      </c>
      <c r="M72" s="3"/>
      <c r="N72" s="3"/>
    </row>
    <row r="73" spans="1:14" ht="15.75" customHeight="1">
      <c r="A73" s="3"/>
      <c r="B73" s="3"/>
      <c r="C73" s="17" t="s">
        <v>169</v>
      </c>
      <c r="D73" s="18">
        <v>70100</v>
      </c>
      <c r="E73" s="18">
        <v>19700</v>
      </c>
      <c r="F73" s="19">
        <v>4214.17</v>
      </c>
      <c r="G73" s="23">
        <f t="shared" si="7"/>
        <v>4.6268656716417889E-2</v>
      </c>
      <c r="H73" s="23">
        <f t="shared" si="8"/>
        <v>1.9668737060041463E-2</v>
      </c>
      <c r="I73" s="23">
        <f t="shared" si="9"/>
        <v>7.3239120967557136E-2</v>
      </c>
      <c r="J73" s="24">
        <f t="shared" si="10"/>
        <v>174.16149068322986</v>
      </c>
      <c r="K73" s="24">
        <f t="shared" si="11"/>
        <v>51.638269986893846</v>
      </c>
      <c r="L73" s="24">
        <f t="shared" si="12"/>
        <v>141.5951831355986</v>
      </c>
      <c r="M73" s="3"/>
      <c r="N73" s="3"/>
    </row>
    <row r="74" spans="1:14" ht="1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ht="1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ht="15" customHeight="1">
      <c r="A76" s="3"/>
      <c r="B76" s="3"/>
      <c r="C76" s="141" t="s">
        <v>170</v>
      </c>
      <c r="D76" s="141"/>
      <c r="E76" s="141"/>
      <c r="F76" s="141"/>
      <c r="G76" s="141"/>
      <c r="H76" s="141"/>
      <c r="I76" s="141"/>
      <c r="J76" s="141"/>
      <c r="K76" s="141"/>
      <c r="L76" s="141"/>
      <c r="M76" s="3"/>
      <c r="N76" s="3"/>
    </row>
    <row r="77" spans="1:14" ht="15" customHeight="1">
      <c r="A77" s="3"/>
      <c r="B77" s="3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3"/>
      <c r="N77" s="3"/>
    </row>
    <row r="78" spans="1:14" ht="15" customHeight="1">
      <c r="A78" s="3"/>
      <c r="B78" s="3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3"/>
      <c r="N78" s="3"/>
    </row>
    <row r="79" spans="1:14" ht="15" customHeight="1">
      <c r="A79" s="3"/>
      <c r="B79" s="3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3"/>
      <c r="N79" s="3"/>
    </row>
    <row r="80" spans="1:14" ht="15" customHeight="1">
      <c r="A80" s="3"/>
      <c r="B80" s="3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3"/>
      <c r="N80" s="3"/>
    </row>
    <row r="81" spans="1:14" ht="15" customHeight="1">
      <c r="A81" s="3"/>
      <c r="B81" s="3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3"/>
      <c r="N81" s="3"/>
    </row>
    <row r="82" spans="1:14" ht="15" customHeight="1">
      <c r="A82" s="3"/>
      <c r="B82" s="3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3"/>
      <c r="N82" s="3"/>
    </row>
  </sheetData>
  <mergeCells count="10">
    <mergeCell ref="B1:L1"/>
    <mergeCell ref="B2:L2"/>
    <mergeCell ref="C9:I9"/>
    <mergeCell ref="C12:F12"/>
    <mergeCell ref="C4:I4"/>
    <mergeCell ref="N13:W13"/>
    <mergeCell ref="N14:Y14"/>
    <mergeCell ref="N15:X15"/>
    <mergeCell ref="C77:L82"/>
    <mergeCell ref="C76:L76"/>
  </mergeCells>
  <phoneticPr fontId="35" type="noConversion"/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F25"/>
  <sheetViews>
    <sheetView showGridLines="0" zoomScaleNormal="100" workbookViewId="0">
      <selection activeCell="G10" sqref="G10"/>
    </sheetView>
  </sheetViews>
  <sheetFormatPr defaultColWidth="8.7109375" defaultRowHeight="15"/>
  <cols>
    <col min="2" max="2" width="3" customWidth="1"/>
    <col min="3" max="3" width="24" customWidth="1"/>
    <col min="4" max="4" width="46" customWidth="1"/>
    <col min="5" max="5" width="43" customWidth="1"/>
  </cols>
  <sheetData>
    <row r="1" spans="1:6" ht="25.5" customHeight="1">
      <c r="A1" s="3"/>
      <c r="B1" s="124" t="s">
        <v>171</v>
      </c>
      <c r="C1" s="124"/>
      <c r="D1" s="124"/>
      <c r="E1" s="124"/>
      <c r="F1" s="124"/>
    </row>
    <row r="2" spans="1:6" ht="15.75" customHeight="1">
      <c r="A2" s="3"/>
      <c r="B2" s="125" t="s">
        <v>172</v>
      </c>
      <c r="C2" s="125"/>
      <c r="D2" s="125"/>
      <c r="E2" s="3"/>
    </row>
    <row r="3" spans="1:6" ht="15" customHeight="1">
      <c r="A3" s="3"/>
      <c r="B3" s="3"/>
      <c r="C3" s="3"/>
      <c r="D3" s="3"/>
      <c r="E3" s="3"/>
    </row>
    <row r="4" spans="1:6" ht="16.5">
      <c r="A4" s="3"/>
      <c r="B4" s="3"/>
      <c r="C4" s="55" t="s">
        <v>173</v>
      </c>
      <c r="D4" s="55" t="s">
        <v>174</v>
      </c>
      <c r="E4" s="55" t="s">
        <v>175</v>
      </c>
    </row>
    <row r="5" spans="1:6" ht="30">
      <c r="A5" s="3"/>
      <c r="B5" s="3"/>
      <c r="C5" s="63" t="s">
        <v>176</v>
      </c>
      <c r="D5" s="64"/>
      <c r="E5" s="64"/>
    </row>
    <row r="6" spans="1:6" ht="66.75" customHeight="1">
      <c r="A6" s="3"/>
      <c r="B6" s="3"/>
      <c r="C6" s="63" t="s">
        <v>177</v>
      </c>
      <c r="D6" s="64"/>
      <c r="E6" s="64"/>
    </row>
    <row r="7" spans="1:6" ht="72" customHeight="1">
      <c r="A7" s="3"/>
      <c r="B7" s="3"/>
      <c r="C7" s="63" t="s">
        <v>178</v>
      </c>
      <c r="D7" s="64"/>
      <c r="E7" s="64"/>
    </row>
    <row r="8" spans="1:6" ht="99.75" customHeight="1">
      <c r="A8" s="3"/>
      <c r="B8" s="3"/>
      <c r="C8" s="63" t="s">
        <v>179</v>
      </c>
      <c r="D8" s="64"/>
      <c r="E8" s="64"/>
    </row>
    <row r="9" spans="1:6" ht="84" customHeight="1">
      <c r="A9" s="3"/>
      <c r="B9" s="3"/>
      <c r="C9" s="63" t="s">
        <v>180</v>
      </c>
      <c r="D9" s="65"/>
      <c r="E9" s="64"/>
    </row>
    <row r="10" spans="1:6" ht="115.5" customHeight="1">
      <c r="A10" s="3"/>
      <c r="B10" s="3"/>
      <c r="C10" s="63" t="s">
        <v>181</v>
      </c>
      <c r="D10" s="64"/>
      <c r="E10" s="65"/>
    </row>
    <row r="11" spans="1:6" ht="100.5" customHeight="1">
      <c r="A11" s="3"/>
      <c r="B11" s="3"/>
      <c r="C11" s="63" t="s">
        <v>182</v>
      </c>
      <c r="D11" s="64"/>
      <c r="E11" s="64"/>
    </row>
    <row r="12" spans="1:6" ht="104.25" customHeight="1">
      <c r="A12" s="3"/>
      <c r="B12" s="3"/>
      <c r="C12" s="63" t="s">
        <v>183</v>
      </c>
      <c r="D12" s="64"/>
      <c r="E12" s="64"/>
    </row>
    <row r="13" spans="1:6" ht="16.5">
      <c r="A13" s="3"/>
      <c r="B13" s="3"/>
      <c r="C13" s="3"/>
      <c r="D13" s="3"/>
      <c r="E13" s="3"/>
    </row>
    <row r="14" spans="1:6" ht="16.5">
      <c r="A14" s="3"/>
      <c r="B14" s="3"/>
      <c r="C14" s="3"/>
      <c r="D14" s="3"/>
      <c r="E14" s="3"/>
    </row>
    <row r="15" spans="1:6" ht="16.5">
      <c r="A15" s="3"/>
      <c r="B15" s="3"/>
      <c r="C15" s="119" t="s">
        <v>184</v>
      </c>
      <c r="D15" s="119"/>
      <c r="E15" s="3"/>
    </row>
    <row r="16" spans="1:6" ht="16.5">
      <c r="A16" s="3"/>
      <c r="B16" s="3"/>
      <c r="C16" s="142"/>
      <c r="D16" s="143"/>
      <c r="E16" s="144"/>
    </row>
    <row r="17" spans="1:5" ht="16.5">
      <c r="A17" s="3"/>
      <c r="B17" s="3"/>
      <c r="C17" s="145"/>
      <c r="D17" s="146"/>
      <c r="E17" s="147"/>
    </row>
    <row r="18" spans="1:5" ht="16.5">
      <c r="A18" s="3"/>
      <c r="B18" s="3"/>
      <c r="C18" s="145"/>
      <c r="D18" s="146"/>
      <c r="E18" s="147"/>
    </row>
    <row r="19" spans="1:5" ht="16.5">
      <c r="A19" s="3"/>
      <c r="B19" s="3"/>
      <c r="C19" s="145"/>
      <c r="D19" s="146"/>
      <c r="E19" s="147"/>
    </row>
    <row r="20" spans="1:5" ht="16.5">
      <c r="A20" s="3"/>
      <c r="B20" s="3"/>
      <c r="C20" s="145"/>
      <c r="D20" s="146"/>
      <c r="E20" s="147"/>
    </row>
    <row r="21" spans="1:5" ht="16.5">
      <c r="A21" s="3"/>
      <c r="B21" s="3"/>
      <c r="C21" s="145"/>
      <c r="D21" s="146"/>
      <c r="E21" s="147"/>
    </row>
    <row r="22" spans="1:5" ht="16.5">
      <c r="A22" s="3"/>
      <c r="B22" s="3"/>
      <c r="C22" s="145"/>
      <c r="D22" s="146"/>
      <c r="E22" s="147"/>
    </row>
    <row r="23" spans="1:5" ht="16.5">
      <c r="A23" s="3"/>
      <c r="B23" s="3"/>
      <c r="C23" s="145"/>
      <c r="D23" s="146"/>
      <c r="E23" s="147"/>
    </row>
    <row r="24" spans="1:5" ht="16.5">
      <c r="A24" s="3"/>
      <c r="B24" s="3"/>
      <c r="C24" s="145"/>
      <c r="D24" s="146"/>
      <c r="E24" s="147"/>
    </row>
    <row r="25" spans="1:5" ht="55.15" customHeight="1">
      <c r="A25" s="3"/>
      <c r="B25" s="3"/>
      <c r="C25" s="148"/>
      <c r="D25" s="149"/>
      <c r="E25" s="150"/>
    </row>
  </sheetData>
  <mergeCells count="4">
    <mergeCell ref="B1:F1"/>
    <mergeCell ref="B2:D2"/>
    <mergeCell ref="C15:D15"/>
    <mergeCell ref="C16:E25"/>
  </mergeCells>
  <phoneticPr fontId="35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M2"/>
  <sheetViews>
    <sheetView showGridLines="0" zoomScaleNormal="100" workbookViewId="0">
      <selection activeCell="C3" sqref="C3"/>
    </sheetView>
  </sheetViews>
  <sheetFormatPr defaultColWidth="8.7109375" defaultRowHeight="15"/>
  <cols>
    <col min="2" max="2" width="3" customWidth="1"/>
  </cols>
  <sheetData>
    <row r="1" spans="1:13" ht="25.5" customHeight="1">
      <c r="A1" s="3"/>
      <c r="B1" s="151" t="s">
        <v>185</v>
      </c>
      <c r="C1" s="151"/>
      <c r="D1" s="151"/>
      <c r="E1" s="151"/>
      <c r="F1" s="151"/>
      <c r="G1" s="151"/>
    </row>
    <row r="2" spans="1:13" ht="27.75" customHeight="1">
      <c r="A2" s="3"/>
      <c r="B2" s="152" t="s">
        <v>379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</row>
  </sheetData>
  <mergeCells count="2">
    <mergeCell ref="B1:G1"/>
    <mergeCell ref="B2:M2"/>
  </mergeCells>
  <phoneticPr fontId="3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M2"/>
  <sheetViews>
    <sheetView showGridLines="0" zoomScaleNormal="100" workbookViewId="0">
      <selection activeCell="E15" sqref="E15"/>
    </sheetView>
  </sheetViews>
  <sheetFormatPr defaultColWidth="8.7109375" defaultRowHeight="15"/>
  <cols>
    <col min="2" max="2" width="3" customWidth="1"/>
  </cols>
  <sheetData>
    <row r="1" spans="1:13" ht="25.5" customHeight="1">
      <c r="A1" s="3"/>
      <c r="B1" s="151" t="s">
        <v>186</v>
      </c>
      <c r="C1" s="151"/>
      <c r="D1" s="151"/>
      <c r="E1" s="151"/>
      <c r="F1" s="151"/>
      <c r="G1" s="151"/>
    </row>
    <row r="2" spans="1:13" ht="27.75" customHeight="1">
      <c r="A2" s="3"/>
      <c r="B2" s="125" t="s">
        <v>380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</row>
  </sheetData>
  <mergeCells count="2">
    <mergeCell ref="B1:G1"/>
    <mergeCell ref="B2:M2"/>
  </mergeCells>
  <phoneticPr fontId="3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15"/>
  <sheetViews>
    <sheetView showGridLines="0" zoomScaleNormal="100" workbookViewId="0">
      <selection activeCell="D9" sqref="D9"/>
    </sheetView>
  </sheetViews>
  <sheetFormatPr defaultColWidth="8.7109375" defaultRowHeight="15"/>
  <cols>
    <col min="2" max="2" width="3" customWidth="1"/>
    <col min="3" max="3" width="22" customWidth="1"/>
    <col min="4" max="4" width="40" customWidth="1"/>
    <col min="5" max="5" width="51.140625" customWidth="1"/>
    <col min="6" max="6" width="40" customWidth="1"/>
    <col min="7" max="7" width="63.5703125" customWidth="1"/>
  </cols>
  <sheetData>
    <row r="1" spans="2:7" ht="46.5" customHeight="1">
      <c r="B1" s="156" t="s">
        <v>418</v>
      </c>
      <c r="C1" s="157"/>
      <c r="D1" s="157"/>
      <c r="E1" s="157"/>
    </row>
    <row r="2" spans="2:7" ht="27.75" customHeight="1">
      <c r="B2" s="153" t="s">
        <v>428</v>
      </c>
      <c r="C2" s="153"/>
      <c r="D2" s="153"/>
      <c r="E2" s="153"/>
      <c r="F2" s="153"/>
      <c r="G2" s="153"/>
    </row>
    <row r="4" spans="2:7">
      <c r="C4" s="155" t="s">
        <v>187</v>
      </c>
      <c r="D4" s="155"/>
    </row>
    <row r="5" spans="2:7" ht="30.75" customHeight="1">
      <c r="C5" s="158" t="s">
        <v>188</v>
      </c>
      <c r="D5" s="158"/>
      <c r="E5" s="158"/>
      <c r="F5" s="158"/>
      <c r="G5" s="158"/>
    </row>
    <row r="7" spans="2:7">
      <c r="C7" s="155" t="s">
        <v>189</v>
      </c>
      <c r="D7" s="155"/>
    </row>
    <row r="8" spans="2:7" ht="16.5">
      <c r="C8" s="55" t="s">
        <v>14</v>
      </c>
      <c r="D8" s="71" t="s">
        <v>390</v>
      </c>
      <c r="E8" s="55" t="s">
        <v>190</v>
      </c>
      <c r="F8" s="55" t="s">
        <v>191</v>
      </c>
      <c r="G8" s="71" t="s">
        <v>391</v>
      </c>
    </row>
    <row r="9" spans="2:7" ht="93.4" customHeight="1">
      <c r="C9" s="67" t="s">
        <v>381</v>
      </c>
      <c r="D9" s="68" t="s">
        <v>192</v>
      </c>
      <c r="E9" s="69" t="s">
        <v>382</v>
      </c>
      <c r="F9" s="68" t="s">
        <v>193</v>
      </c>
      <c r="G9" s="70" t="s">
        <v>393</v>
      </c>
    </row>
    <row r="10" spans="2:7" ht="73.5" customHeight="1">
      <c r="C10" s="67" t="s">
        <v>383</v>
      </c>
      <c r="D10" s="69" t="s">
        <v>384</v>
      </c>
      <c r="E10" s="69" t="s">
        <v>392</v>
      </c>
      <c r="F10" s="68" t="s">
        <v>194</v>
      </c>
      <c r="G10" s="72" t="s">
        <v>394</v>
      </c>
    </row>
    <row r="11" spans="2:7" ht="72.400000000000006" customHeight="1">
      <c r="C11" s="67" t="s">
        <v>385</v>
      </c>
      <c r="D11" s="68" t="s">
        <v>195</v>
      </c>
      <c r="E11" s="69" t="s">
        <v>395</v>
      </c>
      <c r="F11" s="73" t="s">
        <v>396</v>
      </c>
      <c r="G11" s="72" t="s">
        <v>397</v>
      </c>
    </row>
    <row r="12" spans="2:7" ht="91.5" customHeight="1">
      <c r="C12" s="67" t="s">
        <v>386</v>
      </c>
      <c r="D12" s="69" t="s">
        <v>387</v>
      </c>
      <c r="E12" s="68" t="s">
        <v>196</v>
      </c>
      <c r="F12" s="68" t="s">
        <v>197</v>
      </c>
      <c r="G12" s="72" t="s">
        <v>398</v>
      </c>
    </row>
    <row r="13" spans="2:7" ht="94.9" customHeight="1">
      <c r="C13" s="67" t="s">
        <v>388</v>
      </c>
      <c r="D13" s="68" t="s">
        <v>198</v>
      </c>
      <c r="E13" s="73" t="s">
        <v>399</v>
      </c>
      <c r="F13" s="68" t="s">
        <v>199</v>
      </c>
      <c r="G13" s="70" t="s">
        <v>400</v>
      </c>
    </row>
    <row r="14" spans="2:7" ht="119.25" customHeight="1">
      <c r="C14" s="67" t="s">
        <v>389</v>
      </c>
      <c r="D14" s="68" t="s">
        <v>200</v>
      </c>
      <c r="E14" s="69" t="s">
        <v>401</v>
      </c>
      <c r="F14" s="69" t="s">
        <v>402</v>
      </c>
      <c r="G14" s="66" t="s">
        <v>201</v>
      </c>
    </row>
    <row r="15" spans="2:7">
      <c r="F15" s="154"/>
      <c r="G15" s="154"/>
    </row>
  </sheetData>
  <mergeCells count="6">
    <mergeCell ref="B2:G2"/>
    <mergeCell ref="F15:G15"/>
    <mergeCell ref="C7:D7"/>
    <mergeCell ref="B1:E1"/>
    <mergeCell ref="C4:D4"/>
    <mergeCell ref="C5:G5"/>
  </mergeCells>
  <phoneticPr fontId="3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BC47"/>
  <sheetViews>
    <sheetView showGridLines="0"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:I7"/>
    </sheetView>
  </sheetViews>
  <sheetFormatPr defaultColWidth="8.7109375" defaultRowHeight="15"/>
  <cols>
    <col min="1" max="1" width="2.85546875" customWidth="1"/>
    <col min="2" max="2" width="3" customWidth="1"/>
    <col min="3" max="3" width="28.5703125" customWidth="1"/>
    <col min="4" max="4" width="14" customWidth="1"/>
    <col min="5" max="5" width="12.85546875" bestFit="1" customWidth="1"/>
    <col min="6" max="9" width="14.140625" bestFit="1" customWidth="1"/>
    <col min="10" max="10" width="2" customWidth="1"/>
    <col min="11" max="11" width="14" customWidth="1"/>
    <col min="12" max="16" width="14.140625" bestFit="1" customWidth="1"/>
    <col min="17" max="17" width="2" customWidth="1"/>
    <col min="18" max="18" width="11" customWidth="1"/>
    <col min="19" max="23" width="8.85546875" bestFit="1" customWidth="1"/>
    <col min="24" max="24" width="2" customWidth="1"/>
    <col min="25" max="25" width="11" customWidth="1"/>
    <col min="26" max="30" width="8.85546875" bestFit="1" customWidth="1"/>
    <col min="31" max="31" width="2" customWidth="1"/>
    <col min="32" max="32" width="12" customWidth="1"/>
    <col min="33" max="33" width="10.5703125" bestFit="1" customWidth="1"/>
    <col min="34" max="34" width="9.42578125" bestFit="1" customWidth="1"/>
    <col min="35" max="35" width="10.42578125" bestFit="1" customWidth="1"/>
    <col min="36" max="36" width="10.5703125" bestFit="1" customWidth="1"/>
    <col min="37" max="37" width="2" customWidth="1"/>
    <col min="38" max="38" width="12" customWidth="1"/>
    <col min="39" max="39" width="9.28515625" bestFit="1" customWidth="1"/>
    <col min="40" max="40" width="8.7109375" bestFit="1" customWidth="1"/>
    <col min="41" max="41" width="10.5703125" bestFit="1" customWidth="1"/>
    <col min="42" max="42" width="8.7109375" bestFit="1" customWidth="1"/>
    <col min="43" max="43" width="2.7109375" customWidth="1"/>
    <col min="44" max="44" width="72.85546875" customWidth="1"/>
  </cols>
  <sheetData>
    <row r="1" spans="1:55" ht="25.5" customHeight="1">
      <c r="A1" s="3"/>
      <c r="B1" s="124" t="s">
        <v>202</v>
      </c>
      <c r="C1" s="124"/>
      <c r="D1" s="124"/>
      <c r="E1" s="124"/>
      <c r="F1" s="124"/>
      <c r="G1" s="12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55" ht="27.75" customHeight="1">
      <c r="A2" s="3"/>
      <c r="B2" s="125" t="s">
        <v>203</v>
      </c>
      <c r="C2" s="125"/>
      <c r="D2" s="125"/>
      <c r="E2" s="125"/>
      <c r="F2" s="125"/>
      <c r="G2" s="125"/>
      <c r="H2" s="125"/>
      <c r="I2" s="125"/>
      <c r="J2" s="12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55" ht="16.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88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</row>
    <row r="4" spans="1:55" ht="16.5">
      <c r="A4" s="3"/>
      <c r="B4" s="3"/>
      <c r="C4" s="3"/>
      <c r="D4" s="122" t="s">
        <v>204</v>
      </c>
      <c r="E4" s="122"/>
      <c r="F4" s="122"/>
      <c r="G4" s="122"/>
      <c r="H4" s="122"/>
      <c r="I4" s="122"/>
      <c r="J4" s="3"/>
      <c r="K4" s="122" t="s">
        <v>205</v>
      </c>
      <c r="L4" s="122"/>
      <c r="M4" s="122"/>
      <c r="N4" s="122"/>
      <c r="O4" s="122"/>
      <c r="P4" s="122"/>
      <c r="Q4" s="3"/>
      <c r="R4" s="122" t="s">
        <v>206</v>
      </c>
      <c r="S4" s="122"/>
      <c r="T4" s="122"/>
      <c r="U4" s="122"/>
      <c r="V4" s="122"/>
      <c r="W4" s="122"/>
      <c r="X4" s="3"/>
      <c r="Y4" s="122" t="s">
        <v>207</v>
      </c>
      <c r="Z4" s="122"/>
      <c r="AA4" s="122"/>
      <c r="AB4" s="122"/>
      <c r="AC4" s="122"/>
      <c r="AD4" s="122"/>
      <c r="AE4" s="3"/>
      <c r="AF4" s="122" t="s">
        <v>208</v>
      </c>
      <c r="AG4" s="122"/>
      <c r="AH4" s="122"/>
      <c r="AI4" s="122"/>
      <c r="AJ4" s="122"/>
      <c r="AK4" s="3"/>
      <c r="AL4" s="122" t="s">
        <v>209</v>
      </c>
      <c r="AM4" s="122"/>
      <c r="AN4" s="122"/>
      <c r="AO4" s="122"/>
      <c r="AP4" s="122"/>
      <c r="AQ4" s="3"/>
      <c r="AR4" s="123" t="s">
        <v>419</v>
      </c>
      <c r="AS4" s="118"/>
      <c r="AT4" s="118"/>
      <c r="AU4" s="118"/>
      <c r="AV4" s="118"/>
      <c r="AW4" s="118"/>
      <c r="AX4" s="118"/>
      <c r="AY4" s="118"/>
      <c r="AZ4" s="89"/>
      <c r="BA4" s="89"/>
      <c r="BB4" s="89"/>
      <c r="BC4" s="89"/>
    </row>
    <row r="5" spans="1:55" ht="33">
      <c r="A5" s="3"/>
      <c r="B5" s="3"/>
      <c r="C5" s="39" t="s">
        <v>210</v>
      </c>
      <c r="D5" s="74" t="s">
        <v>211</v>
      </c>
      <c r="E5" s="74" t="s">
        <v>212</v>
      </c>
      <c r="F5" s="74" t="s">
        <v>213</v>
      </c>
      <c r="G5" s="74" t="s">
        <v>214</v>
      </c>
      <c r="H5" s="74" t="s">
        <v>215</v>
      </c>
      <c r="I5" s="74" t="s">
        <v>216</v>
      </c>
      <c r="J5" s="3"/>
      <c r="K5" s="74" t="s">
        <v>211</v>
      </c>
      <c r="L5" s="74" t="s">
        <v>212</v>
      </c>
      <c r="M5" s="74" t="s">
        <v>213</v>
      </c>
      <c r="N5" s="74" t="s">
        <v>214</v>
      </c>
      <c r="O5" s="74" t="s">
        <v>215</v>
      </c>
      <c r="P5" s="74" t="s">
        <v>216</v>
      </c>
      <c r="Q5" s="3"/>
      <c r="R5" s="74" t="s">
        <v>211</v>
      </c>
      <c r="S5" s="74" t="s">
        <v>212</v>
      </c>
      <c r="T5" s="74" t="s">
        <v>213</v>
      </c>
      <c r="U5" s="74" t="s">
        <v>214</v>
      </c>
      <c r="V5" s="74" t="s">
        <v>215</v>
      </c>
      <c r="W5" s="74" t="s">
        <v>216</v>
      </c>
      <c r="X5" s="3"/>
      <c r="Y5" s="74" t="s">
        <v>211</v>
      </c>
      <c r="Z5" s="74" t="s">
        <v>212</v>
      </c>
      <c r="AA5" s="74" t="s">
        <v>213</v>
      </c>
      <c r="AB5" s="74" t="s">
        <v>214</v>
      </c>
      <c r="AC5" s="74" t="s">
        <v>215</v>
      </c>
      <c r="AD5" s="74" t="s">
        <v>216</v>
      </c>
      <c r="AE5" s="3"/>
      <c r="AF5" s="74" t="s">
        <v>217</v>
      </c>
      <c r="AG5" s="71" t="s">
        <v>218</v>
      </c>
      <c r="AH5" s="71" t="s">
        <v>219</v>
      </c>
      <c r="AI5" s="71" t="s">
        <v>220</v>
      </c>
      <c r="AJ5" s="71" t="s">
        <v>221</v>
      </c>
      <c r="AK5" s="3"/>
      <c r="AL5" s="74" t="s">
        <v>217</v>
      </c>
      <c r="AM5" s="71" t="s">
        <v>218</v>
      </c>
      <c r="AN5" s="71" t="s">
        <v>219</v>
      </c>
      <c r="AO5" s="71" t="s">
        <v>220</v>
      </c>
      <c r="AP5" s="71" t="s">
        <v>221</v>
      </c>
      <c r="AQ5" s="3"/>
      <c r="AR5" s="88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</row>
    <row r="6" spans="1:55" ht="14.65" customHeight="1">
      <c r="A6" s="3"/>
      <c r="B6" s="3"/>
      <c r="C6" s="46" t="s">
        <v>403</v>
      </c>
      <c r="D6" s="75"/>
      <c r="E6" s="75"/>
      <c r="F6" s="75"/>
      <c r="G6" s="75"/>
      <c r="H6" s="75"/>
      <c r="I6" s="75"/>
      <c r="J6" s="3"/>
      <c r="K6" s="75"/>
      <c r="L6" s="75"/>
      <c r="M6" s="75"/>
      <c r="N6" s="75"/>
      <c r="O6" s="75"/>
      <c r="P6" s="75"/>
      <c r="Q6" s="3"/>
      <c r="R6" s="75"/>
      <c r="S6" s="75"/>
      <c r="T6" s="75"/>
      <c r="U6" s="75"/>
      <c r="V6" s="75"/>
      <c r="W6" s="75"/>
      <c r="X6" s="3"/>
      <c r="Y6" s="75"/>
      <c r="Z6" s="75"/>
      <c r="AA6" s="75"/>
      <c r="AB6" s="75"/>
      <c r="AC6" s="75"/>
      <c r="AD6" s="75"/>
      <c r="AE6" s="3"/>
      <c r="AF6" s="76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118" t="s">
        <v>222</v>
      </c>
      <c r="AS6" s="118"/>
      <c r="AT6" s="118"/>
      <c r="AU6" s="118"/>
      <c r="AV6" s="118"/>
      <c r="AW6" s="118"/>
      <c r="AX6" s="118"/>
      <c r="AY6" s="118"/>
      <c r="AZ6" s="118"/>
      <c r="BA6" s="118"/>
      <c r="BB6" s="89"/>
      <c r="BC6" s="89"/>
    </row>
    <row r="7" spans="1:55" ht="16.5">
      <c r="A7" s="3"/>
      <c r="B7" s="3"/>
      <c r="C7" s="44" t="s">
        <v>223</v>
      </c>
      <c r="D7" s="77">
        <v>31868.42</v>
      </c>
      <c r="E7" s="77">
        <v>29268.560000000001</v>
      </c>
      <c r="F7" s="77">
        <v>39738.97</v>
      </c>
      <c r="G7" s="77">
        <v>42056.65</v>
      </c>
      <c r="H7" s="77">
        <v>51303.72</v>
      </c>
      <c r="I7" s="77">
        <v>48126.59</v>
      </c>
      <c r="J7" s="3"/>
      <c r="K7" s="77"/>
      <c r="L7" s="77"/>
      <c r="M7" s="77"/>
      <c r="N7" s="77"/>
      <c r="O7" s="77"/>
      <c r="P7" s="77"/>
      <c r="Q7" s="3"/>
      <c r="R7" s="78">
        <f t="shared" ref="R7:W12" si="0">IFERROR(D7/D$20,"")</f>
        <v>1</v>
      </c>
      <c r="S7" s="78">
        <f t="shared" si="0"/>
        <v>1</v>
      </c>
      <c r="T7" s="78">
        <f t="shared" si="0"/>
        <v>1</v>
      </c>
      <c r="U7" s="78">
        <f t="shared" si="0"/>
        <v>1</v>
      </c>
      <c r="V7" s="78">
        <f t="shared" si="0"/>
        <v>1</v>
      </c>
      <c r="W7" s="78">
        <f t="shared" si="0"/>
        <v>1</v>
      </c>
      <c r="X7" s="3"/>
      <c r="Y7" s="78" t="str">
        <f t="shared" ref="Y7:AD12" si="1">IFERROR(K7/K$20,"")</f>
        <v/>
      </c>
      <c r="Z7" s="78" t="str">
        <f t="shared" si="1"/>
        <v/>
      </c>
      <c r="AA7" s="78" t="str">
        <f t="shared" si="1"/>
        <v/>
      </c>
      <c r="AB7" s="78" t="str">
        <f t="shared" si="1"/>
        <v/>
      </c>
      <c r="AC7" s="78" t="str">
        <f t="shared" si="1"/>
        <v/>
      </c>
      <c r="AD7" s="78" t="str">
        <f t="shared" si="1"/>
        <v/>
      </c>
      <c r="AE7" s="3"/>
      <c r="AF7" s="79">
        <f t="shared" ref="AF7:AJ11" si="2">IF(OR(D7="",D7=0),"",IFERROR(E7/D7-1,""))</f>
        <v>-8.1581076187648982E-2</v>
      </c>
      <c r="AG7" s="79">
        <f t="shared" si="2"/>
        <v>0.35773574101356531</v>
      </c>
      <c r="AH7" s="79">
        <f t="shared" si="2"/>
        <v>5.8322598698456352E-2</v>
      </c>
      <c r="AI7" s="79">
        <f t="shared" si="2"/>
        <v>0.21987176819837062</v>
      </c>
      <c r="AJ7" s="79">
        <f t="shared" si="2"/>
        <v>-6.1927867998655906E-2</v>
      </c>
      <c r="AK7" s="3"/>
      <c r="AL7" s="79" t="str">
        <f t="shared" ref="AL7:AP11" si="3">IF(OR(K7="",K7=0),"",IFERROR(L7/K7-1,""))</f>
        <v/>
      </c>
      <c r="AM7" s="79" t="str">
        <f t="shared" si="3"/>
        <v/>
      </c>
      <c r="AN7" s="79" t="str">
        <f t="shared" si="3"/>
        <v/>
      </c>
      <c r="AO7" s="79" t="str">
        <f t="shared" si="3"/>
        <v/>
      </c>
      <c r="AP7" s="79" t="str">
        <f t="shared" si="3"/>
        <v/>
      </c>
      <c r="AQ7" s="3"/>
      <c r="AR7" s="88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</row>
    <row r="8" spans="1:55" ht="16.5">
      <c r="A8" s="3"/>
      <c r="B8" s="3"/>
      <c r="C8" s="44" t="s">
        <v>224</v>
      </c>
      <c r="D8" s="77"/>
      <c r="E8" s="77"/>
      <c r="F8" s="77"/>
      <c r="G8" s="77"/>
      <c r="H8" s="77"/>
      <c r="I8" s="77"/>
      <c r="J8" s="3"/>
      <c r="K8" s="77"/>
      <c r="L8" s="77"/>
      <c r="M8" s="77"/>
      <c r="N8" s="77"/>
      <c r="O8" s="77"/>
      <c r="P8" s="77"/>
      <c r="Q8" s="3"/>
      <c r="R8" s="78">
        <f t="shared" si="0"/>
        <v>0</v>
      </c>
      <c r="S8" s="78">
        <f t="shared" si="0"/>
        <v>0</v>
      </c>
      <c r="T8" s="78">
        <f t="shared" si="0"/>
        <v>0</v>
      </c>
      <c r="U8" s="78">
        <f t="shared" si="0"/>
        <v>0</v>
      </c>
      <c r="V8" s="78">
        <f t="shared" si="0"/>
        <v>0</v>
      </c>
      <c r="W8" s="78">
        <f t="shared" si="0"/>
        <v>0</v>
      </c>
      <c r="X8" s="3"/>
      <c r="Y8" s="78" t="str">
        <f t="shared" si="1"/>
        <v/>
      </c>
      <c r="Z8" s="78" t="str">
        <f t="shared" si="1"/>
        <v/>
      </c>
      <c r="AA8" s="78" t="str">
        <f t="shared" si="1"/>
        <v/>
      </c>
      <c r="AB8" s="78" t="str">
        <f t="shared" si="1"/>
        <v/>
      </c>
      <c r="AC8" s="78" t="str">
        <f t="shared" si="1"/>
        <v/>
      </c>
      <c r="AD8" s="78" t="str">
        <f t="shared" si="1"/>
        <v/>
      </c>
      <c r="AE8" s="3"/>
      <c r="AF8" s="79" t="str">
        <f t="shared" si="2"/>
        <v/>
      </c>
      <c r="AG8" s="79" t="str">
        <f t="shared" si="2"/>
        <v/>
      </c>
      <c r="AH8" s="79" t="str">
        <f t="shared" si="2"/>
        <v/>
      </c>
      <c r="AI8" s="79" t="str">
        <f t="shared" si="2"/>
        <v/>
      </c>
      <c r="AJ8" s="79" t="str">
        <f t="shared" si="2"/>
        <v/>
      </c>
      <c r="AK8" s="3"/>
      <c r="AL8" s="79" t="str">
        <f t="shared" si="3"/>
        <v/>
      </c>
      <c r="AM8" s="79" t="str">
        <f t="shared" si="3"/>
        <v/>
      </c>
      <c r="AN8" s="79" t="str">
        <f t="shared" si="3"/>
        <v/>
      </c>
      <c r="AO8" s="79" t="str">
        <f t="shared" si="3"/>
        <v/>
      </c>
      <c r="AP8" s="79" t="str">
        <f t="shared" si="3"/>
        <v/>
      </c>
      <c r="AQ8" s="3"/>
      <c r="AR8" s="118" t="s">
        <v>225</v>
      </c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89"/>
    </row>
    <row r="9" spans="1:55" ht="16.5">
      <c r="A9" s="3"/>
      <c r="B9" s="3"/>
      <c r="C9" s="44" t="s">
        <v>226</v>
      </c>
      <c r="D9" s="77"/>
      <c r="E9" s="77"/>
      <c r="F9" s="77"/>
      <c r="G9" s="77"/>
      <c r="H9" s="77"/>
      <c r="I9" s="77"/>
      <c r="J9" s="3"/>
      <c r="K9" s="77"/>
      <c r="L9" s="77"/>
      <c r="M9" s="77"/>
      <c r="N9" s="77"/>
      <c r="O9" s="77"/>
      <c r="P9" s="77"/>
      <c r="Q9" s="3"/>
      <c r="R9" s="78">
        <f t="shared" si="0"/>
        <v>0</v>
      </c>
      <c r="S9" s="78">
        <f t="shared" si="0"/>
        <v>0</v>
      </c>
      <c r="T9" s="78">
        <f t="shared" si="0"/>
        <v>0</v>
      </c>
      <c r="U9" s="78">
        <f t="shared" si="0"/>
        <v>0</v>
      </c>
      <c r="V9" s="78">
        <f t="shared" si="0"/>
        <v>0</v>
      </c>
      <c r="W9" s="78">
        <f t="shared" si="0"/>
        <v>0</v>
      </c>
      <c r="X9" s="3"/>
      <c r="Y9" s="78" t="str">
        <f t="shared" si="1"/>
        <v/>
      </c>
      <c r="Z9" s="78" t="str">
        <f t="shared" si="1"/>
        <v/>
      </c>
      <c r="AA9" s="78" t="str">
        <f t="shared" si="1"/>
        <v/>
      </c>
      <c r="AB9" s="78" t="str">
        <f t="shared" si="1"/>
        <v/>
      </c>
      <c r="AC9" s="78" t="str">
        <f t="shared" si="1"/>
        <v/>
      </c>
      <c r="AD9" s="78" t="str">
        <f t="shared" si="1"/>
        <v/>
      </c>
      <c r="AE9" s="3"/>
      <c r="AF9" s="79" t="str">
        <f t="shared" si="2"/>
        <v/>
      </c>
      <c r="AG9" s="79" t="str">
        <f t="shared" si="2"/>
        <v/>
      </c>
      <c r="AH9" s="79" t="str">
        <f t="shared" si="2"/>
        <v/>
      </c>
      <c r="AI9" s="79" t="str">
        <f t="shared" si="2"/>
        <v/>
      </c>
      <c r="AJ9" s="79" t="str">
        <f t="shared" si="2"/>
        <v/>
      </c>
      <c r="AK9" s="3"/>
      <c r="AL9" s="79" t="str">
        <f t="shared" si="3"/>
        <v/>
      </c>
      <c r="AM9" s="79" t="str">
        <f t="shared" si="3"/>
        <v/>
      </c>
      <c r="AN9" s="79" t="str">
        <f t="shared" si="3"/>
        <v/>
      </c>
      <c r="AO9" s="79" t="str">
        <f t="shared" si="3"/>
        <v/>
      </c>
      <c r="AP9" s="79" t="str">
        <f t="shared" si="3"/>
        <v/>
      </c>
      <c r="AQ9" s="3"/>
      <c r="AR9" s="88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</row>
    <row r="10" spans="1:55" ht="16.5">
      <c r="A10" s="3"/>
      <c r="B10" s="3"/>
      <c r="C10" s="44" t="s">
        <v>227</v>
      </c>
      <c r="D10" s="77"/>
      <c r="E10" s="77"/>
      <c r="F10" s="77"/>
      <c r="G10" s="77"/>
      <c r="H10" s="77"/>
      <c r="I10" s="77"/>
      <c r="J10" s="3"/>
      <c r="K10" s="77"/>
      <c r="L10" s="77"/>
      <c r="M10" s="77"/>
      <c r="N10" s="77"/>
      <c r="O10" s="77"/>
      <c r="P10" s="77"/>
      <c r="Q10" s="3"/>
      <c r="R10" s="78">
        <f t="shared" si="0"/>
        <v>0</v>
      </c>
      <c r="S10" s="78">
        <f t="shared" si="0"/>
        <v>0</v>
      </c>
      <c r="T10" s="78">
        <f t="shared" si="0"/>
        <v>0</v>
      </c>
      <c r="U10" s="78">
        <f t="shared" si="0"/>
        <v>0</v>
      </c>
      <c r="V10" s="78">
        <f t="shared" si="0"/>
        <v>0</v>
      </c>
      <c r="W10" s="78">
        <f t="shared" si="0"/>
        <v>0</v>
      </c>
      <c r="X10" s="3"/>
      <c r="Y10" s="78" t="str">
        <f t="shared" si="1"/>
        <v/>
      </c>
      <c r="Z10" s="78" t="str">
        <f t="shared" si="1"/>
        <v/>
      </c>
      <c r="AA10" s="78" t="str">
        <f t="shared" si="1"/>
        <v/>
      </c>
      <c r="AB10" s="78" t="str">
        <f t="shared" si="1"/>
        <v/>
      </c>
      <c r="AC10" s="78" t="str">
        <f t="shared" si="1"/>
        <v/>
      </c>
      <c r="AD10" s="78" t="str">
        <f t="shared" si="1"/>
        <v/>
      </c>
      <c r="AE10" s="3"/>
      <c r="AF10" s="79" t="str">
        <f t="shared" si="2"/>
        <v/>
      </c>
      <c r="AG10" s="79" t="str">
        <f t="shared" si="2"/>
        <v/>
      </c>
      <c r="AH10" s="79" t="str">
        <f t="shared" si="2"/>
        <v/>
      </c>
      <c r="AI10" s="79" t="str">
        <f t="shared" si="2"/>
        <v/>
      </c>
      <c r="AJ10" s="79" t="str">
        <f t="shared" si="2"/>
        <v/>
      </c>
      <c r="AK10" s="3"/>
      <c r="AL10" s="79" t="str">
        <f t="shared" si="3"/>
        <v/>
      </c>
      <c r="AM10" s="79" t="str">
        <f t="shared" si="3"/>
        <v/>
      </c>
      <c r="AN10" s="79" t="str">
        <f t="shared" si="3"/>
        <v/>
      </c>
      <c r="AO10" s="79" t="str">
        <f t="shared" si="3"/>
        <v/>
      </c>
      <c r="AP10" s="79" t="str">
        <f t="shared" si="3"/>
        <v/>
      </c>
      <c r="AQ10" s="3"/>
      <c r="AR10" s="118" t="s">
        <v>228</v>
      </c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</row>
    <row r="11" spans="1:55" ht="16.5">
      <c r="A11" s="3"/>
      <c r="B11" s="3"/>
      <c r="C11" s="44" t="s">
        <v>229</v>
      </c>
      <c r="D11" s="77"/>
      <c r="E11" s="77"/>
      <c r="F11" s="77"/>
      <c r="G11" s="77"/>
      <c r="H11" s="77"/>
      <c r="I11" s="77"/>
      <c r="J11" s="3"/>
      <c r="K11" s="77"/>
      <c r="L11" s="77"/>
      <c r="M11" s="77"/>
      <c r="N11" s="77"/>
      <c r="O11" s="77"/>
      <c r="P11" s="77"/>
      <c r="Q11" s="3"/>
      <c r="R11" s="78">
        <f t="shared" si="0"/>
        <v>0</v>
      </c>
      <c r="S11" s="78">
        <f t="shared" si="0"/>
        <v>0</v>
      </c>
      <c r="T11" s="78">
        <f t="shared" si="0"/>
        <v>0</v>
      </c>
      <c r="U11" s="78">
        <f t="shared" si="0"/>
        <v>0</v>
      </c>
      <c r="V11" s="78">
        <f t="shared" si="0"/>
        <v>0</v>
      </c>
      <c r="W11" s="78">
        <f t="shared" si="0"/>
        <v>0</v>
      </c>
      <c r="X11" s="3"/>
      <c r="Y11" s="78" t="str">
        <f t="shared" si="1"/>
        <v/>
      </c>
      <c r="Z11" s="78" t="str">
        <f t="shared" si="1"/>
        <v/>
      </c>
      <c r="AA11" s="78" t="str">
        <f t="shared" si="1"/>
        <v/>
      </c>
      <c r="AB11" s="78" t="str">
        <f t="shared" si="1"/>
        <v/>
      </c>
      <c r="AC11" s="78" t="str">
        <f t="shared" si="1"/>
        <v/>
      </c>
      <c r="AD11" s="78" t="str">
        <f t="shared" si="1"/>
        <v/>
      </c>
      <c r="AE11" s="3"/>
      <c r="AF11" s="79" t="str">
        <f t="shared" si="2"/>
        <v/>
      </c>
      <c r="AG11" s="79" t="str">
        <f t="shared" si="2"/>
        <v/>
      </c>
      <c r="AH11" s="79" t="str">
        <f t="shared" si="2"/>
        <v/>
      </c>
      <c r="AI11" s="79" t="str">
        <f t="shared" si="2"/>
        <v/>
      </c>
      <c r="AJ11" s="79" t="str">
        <f t="shared" si="2"/>
        <v/>
      </c>
      <c r="AK11" s="3"/>
      <c r="AL11" s="79" t="str">
        <f t="shared" si="3"/>
        <v/>
      </c>
      <c r="AM11" s="79" t="str">
        <f t="shared" si="3"/>
        <v/>
      </c>
      <c r="AN11" s="79" t="str">
        <f t="shared" si="3"/>
        <v/>
      </c>
      <c r="AO11" s="79" t="str">
        <f t="shared" si="3"/>
        <v/>
      </c>
      <c r="AP11" s="79" t="str">
        <f t="shared" si="3"/>
        <v/>
      </c>
      <c r="AQ11" s="3"/>
      <c r="AR11" s="88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</row>
    <row r="12" spans="1:55" ht="16.5">
      <c r="A12" s="3"/>
      <c r="B12" s="3"/>
      <c r="C12" s="80" t="s">
        <v>230</v>
      </c>
      <c r="D12" s="81">
        <f t="shared" ref="D12:I12" si="4">SUM(D7:D11)</f>
        <v>31868.42</v>
      </c>
      <c r="E12" s="81">
        <f t="shared" si="4"/>
        <v>29268.560000000001</v>
      </c>
      <c r="F12" s="81">
        <f t="shared" si="4"/>
        <v>39738.97</v>
      </c>
      <c r="G12" s="81">
        <f t="shared" si="4"/>
        <v>42056.65</v>
      </c>
      <c r="H12" s="81">
        <f t="shared" si="4"/>
        <v>51303.72</v>
      </c>
      <c r="I12" s="81">
        <f t="shared" si="4"/>
        <v>48126.59</v>
      </c>
      <c r="J12" s="3"/>
      <c r="K12" s="81">
        <f t="shared" ref="K12:P12" si="5">SUM(K7:K11)</f>
        <v>0</v>
      </c>
      <c r="L12" s="81">
        <f t="shared" si="5"/>
        <v>0</v>
      </c>
      <c r="M12" s="81">
        <f t="shared" si="5"/>
        <v>0</v>
      </c>
      <c r="N12" s="81">
        <f t="shared" si="5"/>
        <v>0</v>
      </c>
      <c r="O12" s="81">
        <f t="shared" si="5"/>
        <v>0</v>
      </c>
      <c r="P12" s="81">
        <f t="shared" si="5"/>
        <v>0</v>
      </c>
      <c r="Q12" s="3"/>
      <c r="R12" s="82">
        <f t="shared" si="0"/>
        <v>1</v>
      </c>
      <c r="S12" s="82">
        <f t="shared" si="0"/>
        <v>1</v>
      </c>
      <c r="T12" s="82">
        <f t="shared" si="0"/>
        <v>1</v>
      </c>
      <c r="U12" s="82">
        <f t="shared" si="0"/>
        <v>1</v>
      </c>
      <c r="V12" s="82">
        <f t="shared" si="0"/>
        <v>1</v>
      </c>
      <c r="W12" s="82">
        <f t="shared" si="0"/>
        <v>1</v>
      </c>
      <c r="X12" s="3"/>
      <c r="Y12" s="82" t="str">
        <f t="shared" si="1"/>
        <v/>
      </c>
      <c r="Z12" s="82" t="str">
        <f t="shared" si="1"/>
        <v/>
      </c>
      <c r="AA12" s="82" t="str">
        <f t="shared" si="1"/>
        <v/>
      </c>
      <c r="AB12" s="82" t="str">
        <f t="shared" si="1"/>
        <v/>
      </c>
      <c r="AC12" s="82" t="str">
        <f t="shared" si="1"/>
        <v/>
      </c>
      <c r="AD12" s="82" t="str">
        <f t="shared" si="1"/>
        <v/>
      </c>
      <c r="AE12" s="3"/>
      <c r="AF12" s="83"/>
      <c r="AG12" s="83"/>
      <c r="AH12" s="83"/>
      <c r="AI12" s="83"/>
      <c r="AJ12" s="83"/>
      <c r="AK12" s="3"/>
      <c r="AL12" s="83"/>
      <c r="AM12" s="83"/>
      <c r="AN12" s="83"/>
      <c r="AO12" s="83"/>
      <c r="AP12" s="83"/>
      <c r="AQ12" s="3"/>
      <c r="AR12" s="118" t="s">
        <v>231</v>
      </c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89"/>
    </row>
    <row r="13" spans="1:55" ht="16.5">
      <c r="A13" s="3"/>
      <c r="B13" s="3"/>
      <c r="C13" s="46" t="s">
        <v>404</v>
      </c>
      <c r="D13" s="75"/>
      <c r="E13" s="75"/>
      <c r="F13" s="75"/>
      <c r="G13" s="75"/>
      <c r="H13" s="75"/>
      <c r="I13" s="75"/>
      <c r="J13" s="3"/>
      <c r="K13" s="75"/>
      <c r="L13" s="75"/>
      <c r="M13" s="75"/>
      <c r="N13" s="75"/>
      <c r="O13" s="75"/>
      <c r="P13" s="75"/>
      <c r="Q13" s="3"/>
      <c r="R13" s="75"/>
      <c r="S13" s="75"/>
      <c r="T13" s="75"/>
      <c r="U13" s="75"/>
      <c r="V13" s="75"/>
      <c r="W13" s="75"/>
      <c r="X13" s="3"/>
      <c r="Y13" s="75"/>
      <c r="Z13" s="75"/>
      <c r="AA13" s="75"/>
      <c r="AB13" s="75"/>
      <c r="AC13" s="75"/>
      <c r="AD13" s="75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88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</row>
    <row r="14" spans="1:55" ht="16.5">
      <c r="A14" s="3"/>
      <c r="B14" s="3"/>
      <c r="C14" s="44" t="s">
        <v>232</v>
      </c>
      <c r="D14" s="77"/>
      <c r="E14" s="77"/>
      <c r="F14" s="77"/>
      <c r="G14" s="77"/>
      <c r="H14" s="77"/>
      <c r="I14" s="77"/>
      <c r="J14" s="3"/>
      <c r="K14" s="77"/>
      <c r="L14" s="77"/>
      <c r="M14" s="77"/>
      <c r="N14" s="77"/>
      <c r="O14" s="77"/>
      <c r="P14" s="77"/>
      <c r="Q14" s="3"/>
      <c r="R14" s="78">
        <f t="shared" ref="R14:W20" si="6">IFERROR(D14/D$20,"")</f>
        <v>0</v>
      </c>
      <c r="S14" s="78">
        <f t="shared" si="6"/>
        <v>0</v>
      </c>
      <c r="T14" s="78">
        <f t="shared" si="6"/>
        <v>0</v>
      </c>
      <c r="U14" s="78">
        <f t="shared" si="6"/>
        <v>0</v>
      </c>
      <c r="V14" s="78">
        <f t="shared" si="6"/>
        <v>0</v>
      </c>
      <c r="W14" s="78">
        <f t="shared" si="6"/>
        <v>0</v>
      </c>
      <c r="X14" s="3"/>
      <c r="Y14" s="78" t="str">
        <f t="shared" ref="Y14:AD20" si="7">IFERROR(K14/K$20,"")</f>
        <v/>
      </c>
      <c r="Z14" s="78" t="str">
        <f t="shared" si="7"/>
        <v/>
      </c>
      <c r="AA14" s="78" t="str">
        <f t="shared" si="7"/>
        <v/>
      </c>
      <c r="AB14" s="78" t="str">
        <f t="shared" si="7"/>
        <v/>
      </c>
      <c r="AC14" s="78" t="str">
        <f t="shared" si="7"/>
        <v/>
      </c>
      <c r="AD14" s="78" t="str">
        <f t="shared" si="7"/>
        <v/>
      </c>
      <c r="AE14" s="3"/>
      <c r="AF14" s="79" t="str">
        <f t="shared" ref="AF14:AJ18" si="8">IF(OR(D14="",D14=0),"",IFERROR(E14/D14-1,""))</f>
        <v/>
      </c>
      <c r="AG14" s="79" t="str">
        <f t="shared" si="8"/>
        <v/>
      </c>
      <c r="AH14" s="79" t="str">
        <f t="shared" si="8"/>
        <v/>
      </c>
      <c r="AI14" s="79" t="str">
        <f t="shared" si="8"/>
        <v/>
      </c>
      <c r="AJ14" s="79" t="str">
        <f t="shared" si="8"/>
        <v/>
      </c>
      <c r="AK14" s="3"/>
      <c r="AL14" s="79" t="str">
        <f t="shared" ref="AL14:AP18" si="9">IF(OR(K14="",K14=0),"",IFERROR(L14/K14-1,""))</f>
        <v/>
      </c>
      <c r="AM14" s="79" t="str">
        <f t="shared" si="9"/>
        <v/>
      </c>
      <c r="AN14" s="79" t="str">
        <f t="shared" si="9"/>
        <v/>
      </c>
      <c r="AO14" s="79" t="str">
        <f t="shared" si="9"/>
        <v/>
      </c>
      <c r="AP14" s="79" t="str">
        <f t="shared" si="9"/>
        <v/>
      </c>
      <c r="AQ14" s="3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</row>
    <row r="15" spans="1:55" ht="16.5">
      <c r="A15" s="3"/>
      <c r="B15" s="3"/>
      <c r="C15" s="44" t="s">
        <v>233</v>
      </c>
      <c r="D15" s="77"/>
      <c r="E15" s="77"/>
      <c r="F15" s="77"/>
      <c r="G15" s="77"/>
      <c r="H15" s="77"/>
      <c r="I15" s="77"/>
      <c r="J15" s="3"/>
      <c r="K15" s="77"/>
      <c r="L15" s="77"/>
      <c r="M15" s="77"/>
      <c r="N15" s="77"/>
      <c r="O15" s="77"/>
      <c r="P15" s="77"/>
      <c r="Q15" s="3"/>
      <c r="R15" s="78">
        <f t="shared" si="6"/>
        <v>0</v>
      </c>
      <c r="S15" s="78">
        <f t="shared" si="6"/>
        <v>0</v>
      </c>
      <c r="T15" s="78">
        <f t="shared" si="6"/>
        <v>0</v>
      </c>
      <c r="U15" s="78">
        <f t="shared" si="6"/>
        <v>0</v>
      </c>
      <c r="V15" s="78">
        <f t="shared" si="6"/>
        <v>0</v>
      </c>
      <c r="W15" s="78">
        <f t="shared" si="6"/>
        <v>0</v>
      </c>
      <c r="X15" s="3"/>
      <c r="Y15" s="78" t="str">
        <f t="shared" si="7"/>
        <v/>
      </c>
      <c r="Z15" s="78" t="str">
        <f t="shared" si="7"/>
        <v/>
      </c>
      <c r="AA15" s="78" t="str">
        <f t="shared" si="7"/>
        <v/>
      </c>
      <c r="AB15" s="78" t="str">
        <f t="shared" si="7"/>
        <v/>
      </c>
      <c r="AC15" s="78" t="str">
        <f t="shared" si="7"/>
        <v/>
      </c>
      <c r="AD15" s="78" t="str">
        <f t="shared" si="7"/>
        <v/>
      </c>
      <c r="AE15" s="3"/>
      <c r="AF15" s="79" t="str">
        <f t="shared" si="8"/>
        <v/>
      </c>
      <c r="AG15" s="79" t="str">
        <f t="shared" si="8"/>
        <v/>
      </c>
      <c r="AH15" s="79" t="str">
        <f t="shared" si="8"/>
        <v/>
      </c>
      <c r="AI15" s="79" t="str">
        <f t="shared" si="8"/>
        <v/>
      </c>
      <c r="AJ15" s="79" t="str">
        <f t="shared" si="8"/>
        <v/>
      </c>
      <c r="AK15" s="3"/>
      <c r="AL15" s="79" t="str">
        <f t="shared" si="9"/>
        <v/>
      </c>
      <c r="AM15" s="79" t="str">
        <f t="shared" si="9"/>
        <v/>
      </c>
      <c r="AN15" s="79" t="str">
        <f t="shared" si="9"/>
        <v/>
      </c>
      <c r="AO15" s="79" t="str">
        <f t="shared" si="9"/>
        <v/>
      </c>
      <c r="AP15" s="79" t="str">
        <f t="shared" si="9"/>
        <v/>
      </c>
      <c r="AQ15" s="3"/>
      <c r="AR15" s="88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</row>
    <row r="16" spans="1:55" ht="16.5">
      <c r="A16" s="3"/>
      <c r="B16" s="3"/>
      <c r="C16" s="44" t="s">
        <v>234</v>
      </c>
      <c r="D16" s="77"/>
      <c r="E16" s="77"/>
      <c r="F16" s="77"/>
      <c r="G16" s="77"/>
      <c r="H16" s="77"/>
      <c r="I16" s="77"/>
      <c r="J16" s="3"/>
      <c r="K16" s="77"/>
      <c r="L16" s="77"/>
      <c r="M16" s="77"/>
      <c r="N16" s="77"/>
      <c r="O16" s="77"/>
      <c r="P16" s="77"/>
      <c r="Q16" s="3"/>
      <c r="R16" s="78">
        <f t="shared" si="6"/>
        <v>0</v>
      </c>
      <c r="S16" s="78">
        <f t="shared" si="6"/>
        <v>0</v>
      </c>
      <c r="T16" s="78">
        <f t="shared" si="6"/>
        <v>0</v>
      </c>
      <c r="U16" s="78">
        <f t="shared" si="6"/>
        <v>0</v>
      </c>
      <c r="V16" s="78">
        <f t="shared" si="6"/>
        <v>0</v>
      </c>
      <c r="W16" s="78">
        <f t="shared" si="6"/>
        <v>0</v>
      </c>
      <c r="X16" s="3"/>
      <c r="Y16" s="78" t="str">
        <f t="shared" si="7"/>
        <v/>
      </c>
      <c r="Z16" s="78" t="str">
        <f t="shared" si="7"/>
        <v/>
      </c>
      <c r="AA16" s="78" t="str">
        <f t="shared" si="7"/>
        <v/>
      </c>
      <c r="AB16" s="78" t="str">
        <f t="shared" si="7"/>
        <v/>
      </c>
      <c r="AC16" s="78" t="str">
        <f t="shared" si="7"/>
        <v/>
      </c>
      <c r="AD16" s="78" t="str">
        <f t="shared" si="7"/>
        <v/>
      </c>
      <c r="AE16" s="3"/>
      <c r="AF16" s="79" t="str">
        <f t="shared" si="8"/>
        <v/>
      </c>
      <c r="AG16" s="79" t="str">
        <f t="shared" si="8"/>
        <v/>
      </c>
      <c r="AH16" s="79" t="str">
        <f t="shared" si="8"/>
        <v/>
      </c>
      <c r="AI16" s="79" t="str">
        <f t="shared" si="8"/>
        <v/>
      </c>
      <c r="AJ16" s="79" t="str">
        <f t="shared" si="8"/>
        <v/>
      </c>
      <c r="AK16" s="3"/>
      <c r="AL16" s="79" t="str">
        <f t="shared" si="9"/>
        <v/>
      </c>
      <c r="AM16" s="79" t="str">
        <f t="shared" si="9"/>
        <v/>
      </c>
      <c r="AN16" s="79" t="str">
        <f t="shared" si="9"/>
        <v/>
      </c>
      <c r="AO16" s="79" t="str">
        <f t="shared" si="9"/>
        <v/>
      </c>
      <c r="AP16" s="79" t="str">
        <f t="shared" si="9"/>
        <v/>
      </c>
      <c r="AQ16" s="3"/>
      <c r="AR16" s="118" t="s">
        <v>235</v>
      </c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</row>
    <row r="17" spans="1:55" ht="16.5">
      <c r="A17" s="3"/>
      <c r="B17" s="3"/>
      <c r="C17" s="44" t="s">
        <v>236</v>
      </c>
      <c r="D17" s="77"/>
      <c r="E17" s="77"/>
      <c r="F17" s="77"/>
      <c r="G17" s="77"/>
      <c r="H17" s="77"/>
      <c r="I17" s="77"/>
      <c r="J17" s="3"/>
      <c r="K17" s="77"/>
      <c r="L17" s="77"/>
      <c r="M17" s="77"/>
      <c r="N17" s="77"/>
      <c r="O17" s="77"/>
      <c r="P17" s="77"/>
      <c r="Q17" s="3"/>
      <c r="R17" s="78">
        <f t="shared" si="6"/>
        <v>0</v>
      </c>
      <c r="S17" s="78">
        <f t="shared" si="6"/>
        <v>0</v>
      </c>
      <c r="T17" s="78">
        <f t="shared" si="6"/>
        <v>0</v>
      </c>
      <c r="U17" s="78">
        <f t="shared" si="6"/>
        <v>0</v>
      </c>
      <c r="V17" s="78">
        <f t="shared" si="6"/>
        <v>0</v>
      </c>
      <c r="W17" s="78">
        <f t="shared" si="6"/>
        <v>0</v>
      </c>
      <c r="X17" s="3"/>
      <c r="Y17" s="78" t="str">
        <f t="shared" si="7"/>
        <v/>
      </c>
      <c r="Z17" s="78" t="str">
        <f t="shared" si="7"/>
        <v/>
      </c>
      <c r="AA17" s="78" t="str">
        <f t="shared" si="7"/>
        <v/>
      </c>
      <c r="AB17" s="78" t="str">
        <f t="shared" si="7"/>
        <v/>
      </c>
      <c r="AC17" s="78" t="str">
        <f t="shared" si="7"/>
        <v/>
      </c>
      <c r="AD17" s="78" t="str">
        <f t="shared" si="7"/>
        <v/>
      </c>
      <c r="AE17" s="3"/>
      <c r="AF17" s="79" t="str">
        <f t="shared" si="8"/>
        <v/>
      </c>
      <c r="AG17" s="79" t="str">
        <f t="shared" si="8"/>
        <v/>
      </c>
      <c r="AH17" s="79" t="str">
        <f t="shared" si="8"/>
        <v/>
      </c>
      <c r="AI17" s="79" t="str">
        <f t="shared" si="8"/>
        <v/>
      </c>
      <c r="AJ17" s="79" t="str">
        <f t="shared" si="8"/>
        <v/>
      </c>
      <c r="AK17" s="3"/>
      <c r="AL17" s="79" t="str">
        <f t="shared" si="9"/>
        <v/>
      </c>
      <c r="AM17" s="79" t="str">
        <f t="shared" si="9"/>
        <v/>
      </c>
      <c r="AN17" s="79" t="str">
        <f t="shared" si="9"/>
        <v/>
      </c>
      <c r="AO17" s="79" t="str">
        <f t="shared" si="9"/>
        <v/>
      </c>
      <c r="AP17" s="79" t="str">
        <f t="shared" si="9"/>
        <v/>
      </c>
      <c r="AQ17" s="3"/>
      <c r="AR17" s="88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</row>
    <row r="18" spans="1:55" ht="16.5">
      <c r="A18" s="3"/>
      <c r="B18" s="3"/>
      <c r="C18" s="44" t="s">
        <v>237</v>
      </c>
      <c r="D18" s="77"/>
      <c r="E18" s="77"/>
      <c r="F18" s="77"/>
      <c r="G18" s="77"/>
      <c r="H18" s="77"/>
      <c r="I18" s="77"/>
      <c r="J18" s="3"/>
      <c r="K18" s="77"/>
      <c r="L18" s="77"/>
      <c r="M18" s="77"/>
      <c r="N18" s="77"/>
      <c r="O18" s="77"/>
      <c r="P18" s="77"/>
      <c r="Q18" s="3"/>
      <c r="R18" s="78">
        <f t="shared" si="6"/>
        <v>0</v>
      </c>
      <c r="S18" s="78">
        <f t="shared" si="6"/>
        <v>0</v>
      </c>
      <c r="T18" s="78">
        <f t="shared" si="6"/>
        <v>0</v>
      </c>
      <c r="U18" s="78">
        <f t="shared" si="6"/>
        <v>0</v>
      </c>
      <c r="V18" s="78">
        <f t="shared" si="6"/>
        <v>0</v>
      </c>
      <c r="W18" s="78">
        <f t="shared" si="6"/>
        <v>0</v>
      </c>
      <c r="X18" s="3"/>
      <c r="Y18" s="78" t="str">
        <f t="shared" si="7"/>
        <v/>
      </c>
      <c r="Z18" s="78" t="str">
        <f t="shared" si="7"/>
        <v/>
      </c>
      <c r="AA18" s="78" t="str">
        <f t="shared" si="7"/>
        <v/>
      </c>
      <c r="AB18" s="78" t="str">
        <f t="shared" si="7"/>
        <v/>
      </c>
      <c r="AC18" s="78" t="str">
        <f t="shared" si="7"/>
        <v/>
      </c>
      <c r="AD18" s="78" t="str">
        <f t="shared" si="7"/>
        <v/>
      </c>
      <c r="AE18" s="3"/>
      <c r="AF18" s="79" t="str">
        <f t="shared" si="8"/>
        <v/>
      </c>
      <c r="AG18" s="79" t="str">
        <f t="shared" si="8"/>
        <v/>
      </c>
      <c r="AH18" s="79" t="str">
        <f t="shared" si="8"/>
        <v/>
      </c>
      <c r="AI18" s="79" t="str">
        <f t="shared" si="8"/>
        <v/>
      </c>
      <c r="AJ18" s="79" t="str">
        <f t="shared" si="8"/>
        <v/>
      </c>
      <c r="AK18" s="3"/>
      <c r="AL18" s="79" t="str">
        <f t="shared" si="9"/>
        <v/>
      </c>
      <c r="AM18" s="79" t="str">
        <f t="shared" si="9"/>
        <v/>
      </c>
      <c r="AN18" s="79" t="str">
        <f t="shared" si="9"/>
        <v/>
      </c>
      <c r="AO18" s="79" t="str">
        <f t="shared" si="9"/>
        <v/>
      </c>
      <c r="AP18" s="79" t="str">
        <f t="shared" si="9"/>
        <v/>
      </c>
      <c r="AQ18" s="3"/>
      <c r="AR18" s="118" t="s">
        <v>238</v>
      </c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</row>
    <row r="19" spans="1:55" ht="15.75" customHeight="1">
      <c r="A19" s="3"/>
      <c r="B19" s="3"/>
      <c r="C19" s="80" t="s">
        <v>239</v>
      </c>
      <c r="D19" s="81">
        <f t="shared" ref="D19:I19" si="10">SUM(D14:D18)</f>
        <v>0</v>
      </c>
      <c r="E19" s="81">
        <f t="shared" si="10"/>
        <v>0</v>
      </c>
      <c r="F19" s="81">
        <f t="shared" si="10"/>
        <v>0</v>
      </c>
      <c r="G19" s="81">
        <f t="shared" si="10"/>
        <v>0</v>
      </c>
      <c r="H19" s="81">
        <f t="shared" si="10"/>
        <v>0</v>
      </c>
      <c r="I19" s="81">
        <f t="shared" si="10"/>
        <v>0</v>
      </c>
      <c r="J19" s="3"/>
      <c r="K19" s="81">
        <f t="shared" ref="K19:P19" si="11">SUM(K14:K18)</f>
        <v>0</v>
      </c>
      <c r="L19" s="81">
        <f t="shared" si="11"/>
        <v>0</v>
      </c>
      <c r="M19" s="81">
        <f t="shared" si="11"/>
        <v>0</v>
      </c>
      <c r="N19" s="81">
        <f t="shared" si="11"/>
        <v>0</v>
      </c>
      <c r="O19" s="81">
        <f t="shared" si="11"/>
        <v>0</v>
      </c>
      <c r="P19" s="81">
        <f t="shared" si="11"/>
        <v>0</v>
      </c>
      <c r="Q19" s="3"/>
      <c r="R19" s="82">
        <f t="shared" si="6"/>
        <v>0</v>
      </c>
      <c r="S19" s="82">
        <f t="shared" si="6"/>
        <v>0</v>
      </c>
      <c r="T19" s="82">
        <f t="shared" si="6"/>
        <v>0</v>
      </c>
      <c r="U19" s="82">
        <f t="shared" si="6"/>
        <v>0</v>
      </c>
      <c r="V19" s="82">
        <f t="shared" si="6"/>
        <v>0</v>
      </c>
      <c r="W19" s="82">
        <f t="shared" si="6"/>
        <v>0</v>
      </c>
      <c r="X19" s="3"/>
      <c r="Y19" s="82" t="str">
        <f t="shared" si="7"/>
        <v/>
      </c>
      <c r="Z19" s="82" t="str">
        <f t="shared" si="7"/>
        <v/>
      </c>
      <c r="AA19" s="82" t="str">
        <f t="shared" si="7"/>
        <v/>
      </c>
      <c r="AB19" s="82" t="str">
        <f t="shared" si="7"/>
        <v/>
      </c>
      <c r="AC19" s="82" t="str">
        <f t="shared" si="7"/>
        <v/>
      </c>
      <c r="AD19" s="82" t="str">
        <f t="shared" si="7"/>
        <v/>
      </c>
      <c r="AE19" s="3"/>
      <c r="AF19" s="83"/>
      <c r="AG19" s="83"/>
      <c r="AH19" s="83"/>
      <c r="AI19" s="83"/>
      <c r="AJ19" s="83"/>
      <c r="AK19" s="3"/>
      <c r="AL19" s="83"/>
      <c r="AM19" s="83"/>
      <c r="AN19" s="83"/>
      <c r="AO19" s="83"/>
      <c r="AP19" s="83"/>
      <c r="AQ19" s="3"/>
      <c r="AR19" s="3"/>
    </row>
    <row r="20" spans="1:55" ht="15.75" customHeight="1">
      <c r="A20" s="3"/>
      <c r="B20" s="3"/>
      <c r="C20" s="80" t="s">
        <v>240</v>
      </c>
      <c r="D20" s="81">
        <f t="shared" ref="D20:I20" si="12">D12+D19</f>
        <v>31868.42</v>
      </c>
      <c r="E20" s="81">
        <f t="shared" si="12"/>
        <v>29268.560000000001</v>
      </c>
      <c r="F20" s="81">
        <f t="shared" si="12"/>
        <v>39738.97</v>
      </c>
      <c r="G20" s="81">
        <f t="shared" si="12"/>
        <v>42056.65</v>
      </c>
      <c r="H20" s="81">
        <f t="shared" si="12"/>
        <v>51303.72</v>
      </c>
      <c r="I20" s="81">
        <f t="shared" si="12"/>
        <v>48126.59</v>
      </c>
      <c r="J20" s="3"/>
      <c r="K20" s="81">
        <f t="shared" ref="K20:P20" si="13">K12+K19</f>
        <v>0</v>
      </c>
      <c r="L20" s="81">
        <f t="shared" si="13"/>
        <v>0</v>
      </c>
      <c r="M20" s="81">
        <f t="shared" si="13"/>
        <v>0</v>
      </c>
      <c r="N20" s="81">
        <f t="shared" si="13"/>
        <v>0</v>
      </c>
      <c r="O20" s="81">
        <f t="shared" si="13"/>
        <v>0</v>
      </c>
      <c r="P20" s="81">
        <f t="shared" si="13"/>
        <v>0</v>
      </c>
      <c r="Q20" s="3"/>
      <c r="R20" s="82">
        <f t="shared" si="6"/>
        <v>1</v>
      </c>
      <c r="S20" s="82">
        <f t="shared" si="6"/>
        <v>1</v>
      </c>
      <c r="T20" s="82">
        <f t="shared" si="6"/>
        <v>1</v>
      </c>
      <c r="U20" s="82">
        <f t="shared" si="6"/>
        <v>1</v>
      </c>
      <c r="V20" s="82">
        <f t="shared" si="6"/>
        <v>1</v>
      </c>
      <c r="W20" s="82">
        <f t="shared" si="6"/>
        <v>1</v>
      </c>
      <c r="X20" s="3"/>
      <c r="Y20" s="82" t="str">
        <f t="shared" si="7"/>
        <v/>
      </c>
      <c r="Z20" s="82" t="str">
        <f t="shared" si="7"/>
        <v/>
      </c>
      <c r="AA20" s="82" t="str">
        <f t="shared" si="7"/>
        <v/>
      </c>
      <c r="AB20" s="82" t="str">
        <f t="shared" si="7"/>
        <v/>
      </c>
      <c r="AC20" s="82" t="str">
        <f t="shared" si="7"/>
        <v/>
      </c>
      <c r="AD20" s="82" t="str">
        <f t="shared" si="7"/>
        <v/>
      </c>
      <c r="AE20" s="3"/>
      <c r="AF20" s="83"/>
      <c r="AG20" s="83"/>
      <c r="AH20" s="83"/>
      <c r="AI20" s="83"/>
      <c r="AJ20" s="83"/>
      <c r="AK20" s="3"/>
      <c r="AL20" s="83"/>
      <c r="AM20" s="83"/>
      <c r="AN20" s="83"/>
      <c r="AO20" s="83"/>
      <c r="AP20" s="83"/>
      <c r="AQ20" s="3"/>
      <c r="AR20" s="3"/>
    </row>
    <row r="21" spans="1:55" ht="15.75" customHeight="1">
      <c r="A21" s="3"/>
      <c r="B21" s="3"/>
      <c r="C21" s="46" t="s">
        <v>405</v>
      </c>
      <c r="D21" s="75"/>
      <c r="E21" s="75"/>
      <c r="F21" s="75"/>
      <c r="G21" s="75"/>
      <c r="H21" s="75"/>
      <c r="I21" s="75"/>
      <c r="J21" s="3"/>
      <c r="K21" s="75"/>
      <c r="L21" s="75"/>
      <c r="M21" s="75"/>
      <c r="N21" s="75"/>
      <c r="O21" s="75"/>
      <c r="P21" s="75"/>
      <c r="Q21" s="3"/>
      <c r="R21" s="75"/>
      <c r="S21" s="75"/>
      <c r="T21" s="75"/>
      <c r="U21" s="75"/>
      <c r="V21" s="75"/>
      <c r="W21" s="75"/>
      <c r="X21" s="3"/>
      <c r="Y21" s="75"/>
      <c r="Z21" s="75"/>
      <c r="AA21" s="75"/>
      <c r="AB21" s="75"/>
      <c r="AC21" s="75"/>
      <c r="AD21" s="75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</row>
    <row r="22" spans="1:55" ht="15.75" customHeight="1">
      <c r="A22" s="3"/>
      <c r="B22" s="3"/>
      <c r="C22" s="44" t="s">
        <v>241</v>
      </c>
      <c r="D22" s="77"/>
      <c r="E22" s="77"/>
      <c r="F22" s="77"/>
      <c r="G22" s="77"/>
      <c r="H22" s="77"/>
      <c r="I22" s="77"/>
      <c r="J22" s="3"/>
      <c r="K22" s="77"/>
      <c r="L22" s="77"/>
      <c r="M22" s="77"/>
      <c r="N22" s="77"/>
      <c r="O22" s="77"/>
      <c r="P22" s="77"/>
      <c r="Q22" s="3"/>
      <c r="R22" s="78">
        <f t="shared" ref="R22:W26" si="14">IFERROR(D22/D$20,"")</f>
        <v>0</v>
      </c>
      <c r="S22" s="78">
        <f t="shared" si="14"/>
        <v>0</v>
      </c>
      <c r="T22" s="78">
        <f t="shared" si="14"/>
        <v>0</v>
      </c>
      <c r="U22" s="78">
        <f t="shared" si="14"/>
        <v>0</v>
      </c>
      <c r="V22" s="78">
        <f t="shared" si="14"/>
        <v>0</v>
      </c>
      <c r="W22" s="78">
        <f t="shared" si="14"/>
        <v>0</v>
      </c>
      <c r="X22" s="3"/>
      <c r="Y22" s="78" t="str">
        <f t="shared" ref="Y22:AD26" si="15">IFERROR(K22/K$20,"")</f>
        <v/>
      </c>
      <c r="Z22" s="78" t="str">
        <f t="shared" si="15"/>
        <v/>
      </c>
      <c r="AA22" s="78" t="str">
        <f t="shared" si="15"/>
        <v/>
      </c>
      <c r="AB22" s="78" t="str">
        <f t="shared" si="15"/>
        <v/>
      </c>
      <c r="AC22" s="78" t="str">
        <f t="shared" si="15"/>
        <v/>
      </c>
      <c r="AD22" s="78" t="str">
        <f t="shared" si="15"/>
        <v/>
      </c>
      <c r="AE22" s="3"/>
      <c r="AF22" s="79" t="str">
        <f t="shared" ref="AF22:AJ25" si="16">IF(OR(D22="",D22=0),"",IFERROR(E22/D22-1,""))</f>
        <v/>
      </c>
      <c r="AG22" s="79" t="str">
        <f t="shared" si="16"/>
        <v/>
      </c>
      <c r="AH22" s="79" t="str">
        <f t="shared" si="16"/>
        <v/>
      </c>
      <c r="AI22" s="79" t="str">
        <f t="shared" si="16"/>
        <v/>
      </c>
      <c r="AJ22" s="79" t="str">
        <f t="shared" si="16"/>
        <v/>
      </c>
      <c r="AK22" s="3"/>
      <c r="AL22" s="79" t="str">
        <f t="shared" ref="AL22:AP25" si="17">IF(OR(K22="",K22=0),"",IFERROR(L22/K22-1,""))</f>
        <v/>
      </c>
      <c r="AM22" s="79" t="str">
        <f t="shared" si="17"/>
        <v/>
      </c>
      <c r="AN22" s="79" t="str">
        <f t="shared" si="17"/>
        <v/>
      </c>
      <c r="AO22" s="79" t="str">
        <f t="shared" si="17"/>
        <v/>
      </c>
      <c r="AP22" s="79" t="str">
        <f t="shared" si="17"/>
        <v/>
      </c>
      <c r="AQ22" s="3"/>
      <c r="AR22" s="3"/>
    </row>
    <row r="23" spans="1:55" ht="15.75" customHeight="1">
      <c r="A23" s="3"/>
      <c r="B23" s="3"/>
      <c r="C23" s="44" t="s">
        <v>242</v>
      </c>
      <c r="D23" s="77"/>
      <c r="E23" s="77"/>
      <c r="F23" s="77"/>
      <c r="G23" s="77"/>
      <c r="H23" s="77"/>
      <c r="I23" s="77"/>
      <c r="J23" s="3"/>
      <c r="K23" s="77"/>
      <c r="L23" s="77"/>
      <c r="M23" s="77"/>
      <c r="N23" s="77"/>
      <c r="O23" s="77"/>
      <c r="P23" s="77"/>
      <c r="Q23" s="3"/>
      <c r="R23" s="78">
        <f t="shared" si="14"/>
        <v>0</v>
      </c>
      <c r="S23" s="78">
        <f t="shared" si="14"/>
        <v>0</v>
      </c>
      <c r="T23" s="78">
        <f t="shared" si="14"/>
        <v>0</v>
      </c>
      <c r="U23" s="78">
        <f t="shared" si="14"/>
        <v>0</v>
      </c>
      <c r="V23" s="78">
        <f t="shared" si="14"/>
        <v>0</v>
      </c>
      <c r="W23" s="78">
        <f t="shared" si="14"/>
        <v>0</v>
      </c>
      <c r="X23" s="3"/>
      <c r="Y23" s="78" t="str">
        <f t="shared" si="15"/>
        <v/>
      </c>
      <c r="Z23" s="78" t="str">
        <f t="shared" si="15"/>
        <v/>
      </c>
      <c r="AA23" s="78" t="str">
        <f t="shared" si="15"/>
        <v/>
      </c>
      <c r="AB23" s="78" t="str">
        <f t="shared" si="15"/>
        <v/>
      </c>
      <c r="AC23" s="78" t="str">
        <f t="shared" si="15"/>
        <v/>
      </c>
      <c r="AD23" s="78" t="str">
        <f t="shared" si="15"/>
        <v/>
      </c>
      <c r="AE23" s="3"/>
      <c r="AF23" s="79" t="str">
        <f t="shared" si="16"/>
        <v/>
      </c>
      <c r="AG23" s="79" t="str">
        <f t="shared" si="16"/>
        <v/>
      </c>
      <c r="AH23" s="79" t="str">
        <f t="shared" si="16"/>
        <v/>
      </c>
      <c r="AI23" s="79" t="str">
        <f t="shared" si="16"/>
        <v/>
      </c>
      <c r="AJ23" s="79" t="str">
        <f t="shared" si="16"/>
        <v/>
      </c>
      <c r="AK23" s="3"/>
      <c r="AL23" s="79" t="str">
        <f t="shared" si="17"/>
        <v/>
      </c>
      <c r="AM23" s="79" t="str">
        <f t="shared" si="17"/>
        <v/>
      </c>
      <c r="AN23" s="79" t="str">
        <f t="shared" si="17"/>
        <v/>
      </c>
      <c r="AO23" s="79" t="str">
        <f t="shared" si="17"/>
        <v/>
      </c>
      <c r="AP23" s="79" t="str">
        <f t="shared" si="17"/>
        <v/>
      </c>
      <c r="AQ23" s="3"/>
      <c r="AR23" s="3"/>
    </row>
    <row r="24" spans="1:55" ht="15.75" customHeight="1">
      <c r="A24" s="3"/>
      <c r="B24" s="3"/>
      <c r="C24" s="44" t="s">
        <v>243</v>
      </c>
      <c r="D24" s="77"/>
      <c r="E24" s="77"/>
      <c r="F24" s="77"/>
      <c r="G24" s="77"/>
      <c r="H24" s="77"/>
      <c r="I24" s="77"/>
      <c r="J24" s="3"/>
      <c r="K24" s="77"/>
      <c r="L24" s="77"/>
      <c r="M24" s="77"/>
      <c r="N24" s="77"/>
      <c r="O24" s="77"/>
      <c r="P24" s="77"/>
      <c r="Q24" s="3"/>
      <c r="R24" s="78">
        <f t="shared" si="14"/>
        <v>0</v>
      </c>
      <c r="S24" s="78">
        <f t="shared" si="14"/>
        <v>0</v>
      </c>
      <c r="T24" s="78">
        <f t="shared" si="14"/>
        <v>0</v>
      </c>
      <c r="U24" s="78">
        <f t="shared" si="14"/>
        <v>0</v>
      </c>
      <c r="V24" s="78">
        <f t="shared" si="14"/>
        <v>0</v>
      </c>
      <c r="W24" s="78">
        <f t="shared" si="14"/>
        <v>0</v>
      </c>
      <c r="X24" s="3"/>
      <c r="Y24" s="78" t="str">
        <f t="shared" si="15"/>
        <v/>
      </c>
      <c r="Z24" s="78" t="str">
        <f t="shared" si="15"/>
        <v/>
      </c>
      <c r="AA24" s="78" t="str">
        <f t="shared" si="15"/>
        <v/>
      </c>
      <c r="AB24" s="78" t="str">
        <f t="shared" si="15"/>
        <v/>
      </c>
      <c r="AC24" s="78" t="str">
        <f t="shared" si="15"/>
        <v/>
      </c>
      <c r="AD24" s="78" t="str">
        <f t="shared" si="15"/>
        <v/>
      </c>
      <c r="AE24" s="3"/>
      <c r="AF24" s="79" t="str">
        <f t="shared" si="16"/>
        <v/>
      </c>
      <c r="AG24" s="79" t="str">
        <f t="shared" si="16"/>
        <v/>
      </c>
      <c r="AH24" s="79" t="str">
        <f t="shared" si="16"/>
        <v/>
      </c>
      <c r="AI24" s="79" t="str">
        <f t="shared" si="16"/>
        <v/>
      </c>
      <c r="AJ24" s="79" t="str">
        <f t="shared" si="16"/>
        <v/>
      </c>
      <c r="AK24" s="3"/>
      <c r="AL24" s="79" t="str">
        <f t="shared" si="17"/>
        <v/>
      </c>
      <c r="AM24" s="79" t="str">
        <f t="shared" si="17"/>
        <v/>
      </c>
      <c r="AN24" s="79" t="str">
        <f t="shared" si="17"/>
        <v/>
      </c>
      <c r="AO24" s="79" t="str">
        <f t="shared" si="17"/>
        <v/>
      </c>
      <c r="AP24" s="79" t="str">
        <f t="shared" si="17"/>
        <v/>
      </c>
      <c r="AQ24" s="3"/>
      <c r="AR24" s="3"/>
    </row>
    <row r="25" spans="1:55" ht="15.75" customHeight="1">
      <c r="A25" s="3"/>
      <c r="B25" s="3"/>
      <c r="C25" s="44" t="s">
        <v>244</v>
      </c>
      <c r="D25" s="77"/>
      <c r="E25" s="77"/>
      <c r="F25" s="77"/>
      <c r="G25" s="77"/>
      <c r="H25" s="77"/>
      <c r="I25" s="77"/>
      <c r="J25" s="3"/>
      <c r="K25" s="77"/>
      <c r="L25" s="77"/>
      <c r="M25" s="77"/>
      <c r="N25" s="77"/>
      <c r="O25" s="77"/>
      <c r="P25" s="77"/>
      <c r="Q25" s="3"/>
      <c r="R25" s="78">
        <f t="shared" si="14"/>
        <v>0</v>
      </c>
      <c r="S25" s="78">
        <f t="shared" si="14"/>
        <v>0</v>
      </c>
      <c r="T25" s="78">
        <f t="shared" si="14"/>
        <v>0</v>
      </c>
      <c r="U25" s="78">
        <f t="shared" si="14"/>
        <v>0</v>
      </c>
      <c r="V25" s="78">
        <f t="shared" si="14"/>
        <v>0</v>
      </c>
      <c r="W25" s="78">
        <f t="shared" si="14"/>
        <v>0</v>
      </c>
      <c r="X25" s="3"/>
      <c r="Y25" s="78" t="str">
        <f t="shared" si="15"/>
        <v/>
      </c>
      <c r="Z25" s="78" t="str">
        <f t="shared" si="15"/>
        <v/>
      </c>
      <c r="AA25" s="78" t="str">
        <f t="shared" si="15"/>
        <v/>
      </c>
      <c r="AB25" s="78" t="str">
        <f t="shared" si="15"/>
        <v/>
      </c>
      <c r="AC25" s="78" t="str">
        <f t="shared" si="15"/>
        <v/>
      </c>
      <c r="AD25" s="78" t="str">
        <f t="shared" si="15"/>
        <v/>
      </c>
      <c r="AE25" s="3"/>
      <c r="AF25" s="79" t="str">
        <f t="shared" si="16"/>
        <v/>
      </c>
      <c r="AG25" s="79" t="str">
        <f t="shared" si="16"/>
        <v/>
      </c>
      <c r="AH25" s="79" t="str">
        <f t="shared" si="16"/>
        <v/>
      </c>
      <c r="AI25" s="79" t="str">
        <f t="shared" si="16"/>
        <v/>
      </c>
      <c r="AJ25" s="79" t="str">
        <f t="shared" si="16"/>
        <v/>
      </c>
      <c r="AK25" s="3"/>
      <c r="AL25" s="79" t="str">
        <f t="shared" si="17"/>
        <v/>
      </c>
      <c r="AM25" s="79" t="str">
        <f t="shared" si="17"/>
        <v/>
      </c>
      <c r="AN25" s="79" t="str">
        <f t="shared" si="17"/>
        <v/>
      </c>
      <c r="AO25" s="79" t="str">
        <f t="shared" si="17"/>
        <v/>
      </c>
      <c r="AP25" s="79" t="str">
        <f t="shared" si="17"/>
        <v/>
      </c>
      <c r="AQ25" s="3"/>
      <c r="AR25" s="3"/>
    </row>
    <row r="26" spans="1:55" ht="15.75" customHeight="1">
      <c r="A26" s="3"/>
      <c r="B26" s="3"/>
      <c r="C26" s="80" t="s">
        <v>245</v>
      </c>
      <c r="D26" s="81">
        <f t="shared" ref="D26:I26" si="18">SUM(D22:D25)</f>
        <v>0</v>
      </c>
      <c r="E26" s="81">
        <f t="shared" si="18"/>
        <v>0</v>
      </c>
      <c r="F26" s="81">
        <f t="shared" si="18"/>
        <v>0</v>
      </c>
      <c r="G26" s="81">
        <f t="shared" si="18"/>
        <v>0</v>
      </c>
      <c r="H26" s="81">
        <f t="shared" si="18"/>
        <v>0</v>
      </c>
      <c r="I26" s="81">
        <f t="shared" si="18"/>
        <v>0</v>
      </c>
      <c r="J26" s="3"/>
      <c r="K26" s="81">
        <f t="shared" ref="K26:P26" si="19">SUM(K22:K25)</f>
        <v>0</v>
      </c>
      <c r="L26" s="81">
        <f t="shared" si="19"/>
        <v>0</v>
      </c>
      <c r="M26" s="81">
        <f t="shared" si="19"/>
        <v>0</v>
      </c>
      <c r="N26" s="81">
        <f t="shared" si="19"/>
        <v>0</v>
      </c>
      <c r="O26" s="81">
        <f t="shared" si="19"/>
        <v>0</v>
      </c>
      <c r="P26" s="81">
        <f t="shared" si="19"/>
        <v>0</v>
      </c>
      <c r="Q26" s="3"/>
      <c r="R26" s="82">
        <f t="shared" si="14"/>
        <v>0</v>
      </c>
      <c r="S26" s="82">
        <f t="shared" si="14"/>
        <v>0</v>
      </c>
      <c r="T26" s="82">
        <f t="shared" si="14"/>
        <v>0</v>
      </c>
      <c r="U26" s="82">
        <f t="shared" si="14"/>
        <v>0</v>
      </c>
      <c r="V26" s="82">
        <f t="shared" si="14"/>
        <v>0</v>
      </c>
      <c r="W26" s="82">
        <f t="shared" si="14"/>
        <v>0</v>
      </c>
      <c r="X26" s="3"/>
      <c r="Y26" s="82" t="str">
        <f t="shared" si="15"/>
        <v/>
      </c>
      <c r="Z26" s="82" t="str">
        <f t="shared" si="15"/>
        <v/>
      </c>
      <c r="AA26" s="82" t="str">
        <f t="shared" si="15"/>
        <v/>
      </c>
      <c r="AB26" s="82" t="str">
        <f t="shared" si="15"/>
        <v/>
      </c>
      <c r="AC26" s="82" t="str">
        <f t="shared" si="15"/>
        <v/>
      </c>
      <c r="AD26" s="82" t="str">
        <f t="shared" si="15"/>
        <v/>
      </c>
      <c r="AE26" s="3"/>
      <c r="AF26" s="83"/>
      <c r="AG26" s="83"/>
      <c r="AH26" s="83"/>
      <c r="AI26" s="83"/>
      <c r="AJ26" s="83"/>
      <c r="AK26" s="3"/>
      <c r="AL26" s="83"/>
      <c r="AM26" s="83"/>
      <c r="AN26" s="83"/>
      <c r="AO26" s="83"/>
      <c r="AP26" s="83"/>
      <c r="AQ26" s="3"/>
      <c r="AR26" s="3"/>
    </row>
    <row r="27" spans="1:55" ht="15.75" customHeight="1">
      <c r="A27" s="3"/>
      <c r="B27" s="3"/>
      <c r="C27" s="46" t="s">
        <v>406</v>
      </c>
      <c r="D27" s="75"/>
      <c r="E27" s="75"/>
      <c r="F27" s="75"/>
      <c r="G27" s="75"/>
      <c r="H27" s="75"/>
      <c r="I27" s="75"/>
      <c r="J27" s="3"/>
      <c r="K27" s="75"/>
      <c r="L27" s="75"/>
      <c r="M27" s="75"/>
      <c r="N27" s="75"/>
      <c r="O27" s="75"/>
      <c r="P27" s="75"/>
      <c r="Q27" s="3"/>
      <c r="R27" s="75"/>
      <c r="S27" s="75"/>
      <c r="T27" s="75"/>
      <c r="U27" s="75"/>
      <c r="V27" s="75"/>
      <c r="W27" s="75"/>
      <c r="X27" s="3"/>
      <c r="Y27" s="75"/>
      <c r="Z27" s="75"/>
      <c r="AA27" s="75"/>
      <c r="AB27" s="75"/>
      <c r="AC27" s="75"/>
      <c r="AD27" s="75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55" ht="15.75" customHeight="1">
      <c r="A28" s="3"/>
      <c r="B28" s="3"/>
      <c r="C28" s="44" t="s">
        <v>246</v>
      </c>
      <c r="D28" s="77"/>
      <c r="E28" s="77"/>
      <c r="F28" s="77"/>
      <c r="G28" s="77"/>
      <c r="H28" s="77"/>
      <c r="I28" s="77"/>
      <c r="J28" s="3"/>
      <c r="K28" s="77"/>
      <c r="L28" s="77"/>
      <c r="M28" s="77"/>
      <c r="N28" s="77"/>
      <c r="O28" s="77"/>
      <c r="P28" s="77"/>
      <c r="Q28" s="3"/>
      <c r="R28" s="78">
        <f t="shared" ref="R28:W33" si="20">IFERROR(D28/D$20,"")</f>
        <v>0</v>
      </c>
      <c r="S28" s="78">
        <f t="shared" si="20"/>
        <v>0</v>
      </c>
      <c r="T28" s="78">
        <f t="shared" si="20"/>
        <v>0</v>
      </c>
      <c r="U28" s="78">
        <f t="shared" si="20"/>
        <v>0</v>
      </c>
      <c r="V28" s="78">
        <f t="shared" si="20"/>
        <v>0</v>
      </c>
      <c r="W28" s="78">
        <f t="shared" si="20"/>
        <v>0</v>
      </c>
      <c r="X28" s="3"/>
      <c r="Y28" s="78" t="str">
        <f t="shared" ref="Y28:AD33" si="21">IFERROR(K28/K$20,"")</f>
        <v/>
      </c>
      <c r="Z28" s="78" t="str">
        <f t="shared" si="21"/>
        <v/>
      </c>
      <c r="AA28" s="78" t="str">
        <f t="shared" si="21"/>
        <v/>
      </c>
      <c r="AB28" s="78" t="str">
        <f t="shared" si="21"/>
        <v/>
      </c>
      <c r="AC28" s="78" t="str">
        <f t="shared" si="21"/>
        <v/>
      </c>
      <c r="AD28" s="78" t="str">
        <f t="shared" si="21"/>
        <v/>
      </c>
      <c r="AE28" s="3"/>
      <c r="AF28" s="79" t="str">
        <f t="shared" ref="AF28:AJ31" si="22">IF(OR(D28="",D28=0),"",IFERROR(E28/D28-1,""))</f>
        <v/>
      </c>
      <c r="AG28" s="79" t="str">
        <f t="shared" si="22"/>
        <v/>
      </c>
      <c r="AH28" s="79" t="str">
        <f t="shared" si="22"/>
        <v/>
      </c>
      <c r="AI28" s="79" t="str">
        <f t="shared" si="22"/>
        <v/>
      </c>
      <c r="AJ28" s="79" t="str">
        <f t="shared" si="22"/>
        <v/>
      </c>
      <c r="AK28" s="3"/>
      <c r="AL28" s="79" t="str">
        <f t="shared" ref="AL28:AP31" si="23">IF(OR(K28="",K28=0),"",IFERROR(L28/K28-1,""))</f>
        <v/>
      </c>
      <c r="AM28" s="79" t="str">
        <f t="shared" si="23"/>
        <v/>
      </c>
      <c r="AN28" s="79" t="str">
        <f t="shared" si="23"/>
        <v/>
      </c>
      <c r="AO28" s="79" t="str">
        <f t="shared" si="23"/>
        <v/>
      </c>
      <c r="AP28" s="79" t="str">
        <f t="shared" si="23"/>
        <v/>
      </c>
      <c r="AQ28" s="3"/>
      <c r="AR28" s="3"/>
    </row>
    <row r="29" spans="1:55" ht="15.75" customHeight="1">
      <c r="A29" s="3"/>
      <c r="B29" s="3"/>
      <c r="C29" s="44" t="s">
        <v>247</v>
      </c>
      <c r="D29" s="77"/>
      <c r="E29" s="77"/>
      <c r="F29" s="77"/>
      <c r="G29" s="77"/>
      <c r="H29" s="77"/>
      <c r="I29" s="77"/>
      <c r="J29" s="3"/>
      <c r="K29" s="77"/>
      <c r="L29" s="77"/>
      <c r="M29" s="77"/>
      <c r="N29" s="77"/>
      <c r="O29" s="77"/>
      <c r="P29" s="77"/>
      <c r="Q29" s="3"/>
      <c r="R29" s="78">
        <f t="shared" si="20"/>
        <v>0</v>
      </c>
      <c r="S29" s="78">
        <f t="shared" si="20"/>
        <v>0</v>
      </c>
      <c r="T29" s="78">
        <f t="shared" si="20"/>
        <v>0</v>
      </c>
      <c r="U29" s="78">
        <f t="shared" si="20"/>
        <v>0</v>
      </c>
      <c r="V29" s="78">
        <f t="shared" si="20"/>
        <v>0</v>
      </c>
      <c r="W29" s="78">
        <f t="shared" si="20"/>
        <v>0</v>
      </c>
      <c r="X29" s="3"/>
      <c r="Y29" s="78" t="str">
        <f t="shared" si="21"/>
        <v/>
      </c>
      <c r="Z29" s="78" t="str">
        <f t="shared" si="21"/>
        <v/>
      </c>
      <c r="AA29" s="78" t="str">
        <f t="shared" si="21"/>
        <v/>
      </c>
      <c r="AB29" s="78" t="str">
        <f t="shared" si="21"/>
        <v/>
      </c>
      <c r="AC29" s="78" t="str">
        <f t="shared" si="21"/>
        <v/>
      </c>
      <c r="AD29" s="78" t="str">
        <f t="shared" si="21"/>
        <v/>
      </c>
      <c r="AE29" s="3"/>
      <c r="AF29" s="79" t="str">
        <f t="shared" si="22"/>
        <v/>
      </c>
      <c r="AG29" s="79" t="str">
        <f t="shared" si="22"/>
        <v/>
      </c>
      <c r="AH29" s="79" t="str">
        <f t="shared" si="22"/>
        <v/>
      </c>
      <c r="AI29" s="79" t="str">
        <f t="shared" si="22"/>
        <v/>
      </c>
      <c r="AJ29" s="79" t="str">
        <f t="shared" si="22"/>
        <v/>
      </c>
      <c r="AK29" s="3"/>
      <c r="AL29" s="79" t="str">
        <f t="shared" si="23"/>
        <v/>
      </c>
      <c r="AM29" s="79" t="str">
        <f t="shared" si="23"/>
        <v/>
      </c>
      <c r="AN29" s="79" t="str">
        <f t="shared" si="23"/>
        <v/>
      </c>
      <c r="AO29" s="79" t="str">
        <f t="shared" si="23"/>
        <v/>
      </c>
      <c r="AP29" s="79" t="str">
        <f t="shared" si="23"/>
        <v/>
      </c>
      <c r="AQ29" s="3"/>
      <c r="AR29" s="3"/>
    </row>
    <row r="30" spans="1:55" ht="15.75" customHeight="1">
      <c r="A30" s="3"/>
      <c r="B30" s="3"/>
      <c r="C30" s="44" t="s">
        <v>248</v>
      </c>
      <c r="D30" s="77"/>
      <c r="E30" s="77"/>
      <c r="F30" s="77"/>
      <c r="G30" s="77"/>
      <c r="H30" s="77"/>
      <c r="I30" s="77"/>
      <c r="J30" s="3"/>
      <c r="K30" s="77"/>
      <c r="L30" s="77"/>
      <c r="M30" s="77"/>
      <c r="N30" s="77"/>
      <c r="O30" s="77"/>
      <c r="P30" s="77"/>
      <c r="Q30" s="3"/>
      <c r="R30" s="78">
        <f t="shared" si="20"/>
        <v>0</v>
      </c>
      <c r="S30" s="78">
        <f t="shared" si="20"/>
        <v>0</v>
      </c>
      <c r="T30" s="78">
        <f t="shared" si="20"/>
        <v>0</v>
      </c>
      <c r="U30" s="78">
        <f t="shared" si="20"/>
        <v>0</v>
      </c>
      <c r="V30" s="78">
        <f t="shared" si="20"/>
        <v>0</v>
      </c>
      <c r="W30" s="78">
        <f t="shared" si="20"/>
        <v>0</v>
      </c>
      <c r="X30" s="3"/>
      <c r="Y30" s="78" t="str">
        <f t="shared" si="21"/>
        <v/>
      </c>
      <c r="Z30" s="78" t="str">
        <f t="shared" si="21"/>
        <v/>
      </c>
      <c r="AA30" s="78" t="str">
        <f t="shared" si="21"/>
        <v/>
      </c>
      <c r="AB30" s="78" t="str">
        <f t="shared" si="21"/>
        <v/>
      </c>
      <c r="AC30" s="78" t="str">
        <f t="shared" si="21"/>
        <v/>
      </c>
      <c r="AD30" s="78" t="str">
        <f t="shared" si="21"/>
        <v/>
      </c>
      <c r="AE30" s="3"/>
      <c r="AF30" s="79" t="str">
        <f t="shared" si="22"/>
        <v/>
      </c>
      <c r="AG30" s="79" t="str">
        <f t="shared" si="22"/>
        <v/>
      </c>
      <c r="AH30" s="79" t="str">
        <f t="shared" si="22"/>
        <v/>
      </c>
      <c r="AI30" s="79" t="str">
        <f t="shared" si="22"/>
        <v/>
      </c>
      <c r="AJ30" s="79" t="str">
        <f t="shared" si="22"/>
        <v/>
      </c>
      <c r="AK30" s="3"/>
      <c r="AL30" s="79" t="str">
        <f t="shared" si="23"/>
        <v/>
      </c>
      <c r="AM30" s="79" t="str">
        <f t="shared" si="23"/>
        <v/>
      </c>
      <c r="AN30" s="79" t="str">
        <f t="shared" si="23"/>
        <v/>
      </c>
      <c r="AO30" s="79" t="str">
        <f t="shared" si="23"/>
        <v/>
      </c>
      <c r="AP30" s="79" t="str">
        <f t="shared" si="23"/>
        <v/>
      </c>
      <c r="AQ30" s="3"/>
      <c r="AR30" s="3"/>
    </row>
    <row r="31" spans="1:55" ht="15.75" customHeight="1">
      <c r="A31" s="3"/>
      <c r="B31" s="3"/>
      <c r="C31" s="44" t="s">
        <v>249</v>
      </c>
      <c r="D31" s="77"/>
      <c r="E31" s="77"/>
      <c r="F31" s="77"/>
      <c r="G31" s="77"/>
      <c r="H31" s="77"/>
      <c r="I31" s="77"/>
      <c r="J31" s="3"/>
      <c r="K31" s="77"/>
      <c r="L31" s="77"/>
      <c r="M31" s="77"/>
      <c r="N31" s="77"/>
      <c r="O31" s="77"/>
      <c r="P31" s="77"/>
      <c r="Q31" s="3"/>
      <c r="R31" s="78">
        <f t="shared" si="20"/>
        <v>0</v>
      </c>
      <c r="S31" s="78">
        <f t="shared" si="20"/>
        <v>0</v>
      </c>
      <c r="T31" s="78">
        <f t="shared" si="20"/>
        <v>0</v>
      </c>
      <c r="U31" s="78">
        <f t="shared" si="20"/>
        <v>0</v>
      </c>
      <c r="V31" s="78">
        <f t="shared" si="20"/>
        <v>0</v>
      </c>
      <c r="W31" s="78">
        <f t="shared" si="20"/>
        <v>0</v>
      </c>
      <c r="X31" s="3"/>
      <c r="Y31" s="78" t="str">
        <f t="shared" si="21"/>
        <v/>
      </c>
      <c r="Z31" s="78" t="str">
        <f t="shared" si="21"/>
        <v/>
      </c>
      <c r="AA31" s="78" t="str">
        <f t="shared" si="21"/>
        <v/>
      </c>
      <c r="AB31" s="78" t="str">
        <f t="shared" si="21"/>
        <v/>
      </c>
      <c r="AC31" s="78" t="str">
        <f t="shared" si="21"/>
        <v/>
      </c>
      <c r="AD31" s="78" t="str">
        <f t="shared" si="21"/>
        <v/>
      </c>
      <c r="AE31" s="3"/>
      <c r="AF31" s="79" t="str">
        <f t="shared" si="22"/>
        <v/>
      </c>
      <c r="AG31" s="79" t="str">
        <f t="shared" si="22"/>
        <v/>
      </c>
      <c r="AH31" s="79" t="str">
        <f t="shared" si="22"/>
        <v/>
      </c>
      <c r="AI31" s="79" t="str">
        <f t="shared" si="22"/>
        <v/>
      </c>
      <c r="AJ31" s="79" t="str">
        <f t="shared" si="22"/>
        <v/>
      </c>
      <c r="AK31" s="3"/>
      <c r="AL31" s="79" t="str">
        <f t="shared" si="23"/>
        <v/>
      </c>
      <c r="AM31" s="79" t="str">
        <f t="shared" si="23"/>
        <v/>
      </c>
      <c r="AN31" s="79" t="str">
        <f t="shared" si="23"/>
        <v/>
      </c>
      <c r="AO31" s="79" t="str">
        <f t="shared" si="23"/>
        <v/>
      </c>
      <c r="AP31" s="79" t="str">
        <f t="shared" si="23"/>
        <v/>
      </c>
      <c r="AQ31" s="3"/>
      <c r="AR31" s="3"/>
    </row>
    <row r="32" spans="1:55" ht="15.75" customHeight="1">
      <c r="A32" s="3"/>
      <c r="B32" s="3"/>
      <c r="C32" s="80" t="s">
        <v>250</v>
      </c>
      <c r="D32" s="81">
        <f t="shared" ref="D32:I32" si="24">SUM(D28:D31)</f>
        <v>0</v>
      </c>
      <c r="E32" s="81">
        <f t="shared" si="24"/>
        <v>0</v>
      </c>
      <c r="F32" s="81">
        <f t="shared" si="24"/>
        <v>0</v>
      </c>
      <c r="G32" s="81">
        <f t="shared" si="24"/>
        <v>0</v>
      </c>
      <c r="H32" s="81">
        <f t="shared" si="24"/>
        <v>0</v>
      </c>
      <c r="I32" s="81">
        <f t="shared" si="24"/>
        <v>0</v>
      </c>
      <c r="J32" s="3"/>
      <c r="K32" s="81">
        <f t="shared" ref="K32:P32" si="25">SUM(K28:K31)</f>
        <v>0</v>
      </c>
      <c r="L32" s="81">
        <f t="shared" si="25"/>
        <v>0</v>
      </c>
      <c r="M32" s="81">
        <f t="shared" si="25"/>
        <v>0</v>
      </c>
      <c r="N32" s="81">
        <f t="shared" si="25"/>
        <v>0</v>
      </c>
      <c r="O32" s="81">
        <f t="shared" si="25"/>
        <v>0</v>
      </c>
      <c r="P32" s="81">
        <f t="shared" si="25"/>
        <v>0</v>
      </c>
      <c r="Q32" s="3"/>
      <c r="R32" s="82">
        <f t="shared" si="20"/>
        <v>0</v>
      </c>
      <c r="S32" s="82">
        <f t="shared" si="20"/>
        <v>0</v>
      </c>
      <c r="T32" s="82">
        <f t="shared" si="20"/>
        <v>0</v>
      </c>
      <c r="U32" s="82">
        <f t="shared" si="20"/>
        <v>0</v>
      </c>
      <c r="V32" s="82">
        <f t="shared" si="20"/>
        <v>0</v>
      </c>
      <c r="W32" s="82">
        <f t="shared" si="20"/>
        <v>0</v>
      </c>
      <c r="X32" s="3"/>
      <c r="Y32" s="82" t="str">
        <f t="shared" si="21"/>
        <v/>
      </c>
      <c r="Z32" s="82" t="str">
        <f t="shared" si="21"/>
        <v/>
      </c>
      <c r="AA32" s="82" t="str">
        <f t="shared" si="21"/>
        <v/>
      </c>
      <c r="AB32" s="82" t="str">
        <f t="shared" si="21"/>
        <v/>
      </c>
      <c r="AC32" s="82" t="str">
        <f t="shared" si="21"/>
        <v/>
      </c>
      <c r="AD32" s="82" t="str">
        <f t="shared" si="21"/>
        <v/>
      </c>
      <c r="AE32" s="3"/>
      <c r="AF32" s="83"/>
      <c r="AG32" s="83"/>
      <c r="AH32" s="83"/>
      <c r="AI32" s="83"/>
      <c r="AJ32" s="83"/>
      <c r="AK32" s="3"/>
      <c r="AL32" s="83"/>
      <c r="AM32" s="83"/>
      <c r="AN32" s="83"/>
      <c r="AO32" s="83"/>
      <c r="AP32" s="83"/>
      <c r="AQ32" s="3"/>
      <c r="AR32" s="3"/>
    </row>
    <row r="33" spans="1:44" ht="15.75" customHeight="1">
      <c r="A33" s="3"/>
      <c r="B33" s="3"/>
      <c r="C33" s="80" t="s">
        <v>251</v>
      </c>
      <c r="D33" s="81">
        <f t="shared" ref="D33:I33" si="26">D26+D32</f>
        <v>0</v>
      </c>
      <c r="E33" s="81">
        <f t="shared" si="26"/>
        <v>0</v>
      </c>
      <c r="F33" s="81">
        <f t="shared" si="26"/>
        <v>0</v>
      </c>
      <c r="G33" s="81">
        <f t="shared" si="26"/>
        <v>0</v>
      </c>
      <c r="H33" s="81">
        <f t="shared" si="26"/>
        <v>0</v>
      </c>
      <c r="I33" s="81">
        <f t="shared" si="26"/>
        <v>0</v>
      </c>
      <c r="J33" s="3"/>
      <c r="K33" s="81">
        <f t="shared" ref="K33:P33" si="27">K26+K32</f>
        <v>0</v>
      </c>
      <c r="L33" s="81">
        <f t="shared" si="27"/>
        <v>0</v>
      </c>
      <c r="M33" s="81">
        <f t="shared" si="27"/>
        <v>0</v>
      </c>
      <c r="N33" s="81">
        <f t="shared" si="27"/>
        <v>0</v>
      </c>
      <c r="O33" s="81">
        <f t="shared" si="27"/>
        <v>0</v>
      </c>
      <c r="P33" s="81">
        <f t="shared" si="27"/>
        <v>0</v>
      </c>
      <c r="Q33" s="3"/>
      <c r="R33" s="82">
        <f t="shared" si="20"/>
        <v>0</v>
      </c>
      <c r="S33" s="82">
        <f t="shared" si="20"/>
        <v>0</v>
      </c>
      <c r="T33" s="82">
        <f t="shared" si="20"/>
        <v>0</v>
      </c>
      <c r="U33" s="82">
        <f t="shared" si="20"/>
        <v>0</v>
      </c>
      <c r="V33" s="82">
        <f t="shared" si="20"/>
        <v>0</v>
      </c>
      <c r="W33" s="82">
        <f t="shared" si="20"/>
        <v>0</v>
      </c>
      <c r="X33" s="3"/>
      <c r="Y33" s="82" t="str">
        <f t="shared" si="21"/>
        <v/>
      </c>
      <c r="Z33" s="82" t="str">
        <f t="shared" si="21"/>
        <v/>
      </c>
      <c r="AA33" s="82" t="str">
        <f t="shared" si="21"/>
        <v/>
      </c>
      <c r="AB33" s="82" t="str">
        <f t="shared" si="21"/>
        <v/>
      </c>
      <c r="AC33" s="82" t="str">
        <f t="shared" si="21"/>
        <v/>
      </c>
      <c r="AD33" s="82" t="str">
        <f t="shared" si="21"/>
        <v/>
      </c>
      <c r="AE33" s="3"/>
      <c r="AF33" s="83"/>
      <c r="AG33" s="83"/>
      <c r="AH33" s="83"/>
      <c r="AI33" s="83"/>
      <c r="AJ33" s="83"/>
      <c r="AK33" s="3"/>
      <c r="AL33" s="83"/>
      <c r="AM33" s="83"/>
      <c r="AN33" s="83"/>
      <c r="AO33" s="83"/>
      <c r="AP33" s="83"/>
      <c r="AQ33" s="3"/>
      <c r="AR33" s="3"/>
    </row>
    <row r="34" spans="1:44" ht="15.75" customHeight="1">
      <c r="A34" s="3"/>
      <c r="B34" s="3"/>
      <c r="C34" s="46" t="s">
        <v>407</v>
      </c>
      <c r="D34" s="75"/>
      <c r="E34" s="75"/>
      <c r="F34" s="75"/>
      <c r="G34" s="75"/>
      <c r="H34" s="75"/>
      <c r="I34" s="75"/>
      <c r="J34" s="3"/>
      <c r="K34" s="75"/>
      <c r="L34" s="75"/>
      <c r="M34" s="75"/>
      <c r="N34" s="75"/>
      <c r="O34" s="75"/>
      <c r="P34" s="75"/>
      <c r="Q34" s="3"/>
      <c r="R34" s="75"/>
      <c r="S34" s="75"/>
      <c r="T34" s="75"/>
      <c r="U34" s="75"/>
      <c r="V34" s="75"/>
      <c r="W34" s="75"/>
      <c r="X34" s="3"/>
      <c r="Y34" s="75"/>
      <c r="Z34" s="75"/>
      <c r="AA34" s="75"/>
      <c r="AB34" s="75"/>
      <c r="AC34" s="75"/>
      <c r="AD34" s="75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1:44" ht="15.75" customHeight="1">
      <c r="A35" s="3"/>
      <c r="B35" s="3"/>
      <c r="C35" s="44" t="s">
        <v>252</v>
      </c>
      <c r="D35" s="77"/>
      <c r="E35" s="77"/>
      <c r="F35" s="77"/>
      <c r="G35" s="77"/>
      <c r="H35" s="77"/>
      <c r="I35" s="77"/>
      <c r="J35" s="3"/>
      <c r="K35" s="77"/>
      <c r="L35" s="77"/>
      <c r="M35" s="77"/>
      <c r="N35" s="77"/>
      <c r="O35" s="77"/>
      <c r="P35" s="77"/>
      <c r="Q35" s="3"/>
      <c r="R35" s="78">
        <f t="shared" ref="R35:W41" si="28">IFERROR(D35/D$20,"")</f>
        <v>0</v>
      </c>
      <c r="S35" s="78">
        <f t="shared" si="28"/>
        <v>0</v>
      </c>
      <c r="T35" s="78">
        <f t="shared" si="28"/>
        <v>0</v>
      </c>
      <c r="U35" s="78">
        <f t="shared" si="28"/>
        <v>0</v>
      </c>
      <c r="V35" s="78">
        <f t="shared" si="28"/>
        <v>0</v>
      </c>
      <c r="W35" s="78">
        <f t="shared" si="28"/>
        <v>0</v>
      </c>
      <c r="X35" s="3"/>
      <c r="Y35" s="78" t="str">
        <f t="shared" ref="Y35:AD41" si="29">IFERROR(K35/K$20,"")</f>
        <v/>
      </c>
      <c r="Z35" s="78" t="str">
        <f t="shared" si="29"/>
        <v/>
      </c>
      <c r="AA35" s="78" t="str">
        <f t="shared" si="29"/>
        <v/>
      </c>
      <c r="AB35" s="78" t="str">
        <f t="shared" si="29"/>
        <v/>
      </c>
      <c r="AC35" s="78" t="str">
        <f t="shared" si="29"/>
        <v/>
      </c>
      <c r="AD35" s="78" t="str">
        <f t="shared" si="29"/>
        <v/>
      </c>
      <c r="AE35" s="3"/>
      <c r="AF35" s="79" t="str">
        <f t="shared" ref="AF35:AJ39" si="30">IF(OR(D35="",D35=0),"",IFERROR(E35/D35-1,""))</f>
        <v/>
      </c>
      <c r="AG35" s="79" t="str">
        <f t="shared" si="30"/>
        <v/>
      </c>
      <c r="AH35" s="79" t="str">
        <f t="shared" si="30"/>
        <v/>
      </c>
      <c r="AI35" s="79" t="str">
        <f t="shared" si="30"/>
        <v/>
      </c>
      <c r="AJ35" s="79" t="str">
        <f t="shared" si="30"/>
        <v/>
      </c>
      <c r="AK35" s="3"/>
      <c r="AL35" s="79" t="str">
        <f t="shared" ref="AL35:AP39" si="31">IF(OR(K35="",K35=0),"",IFERROR(L35/K35-1,""))</f>
        <v/>
      </c>
      <c r="AM35" s="79" t="str">
        <f t="shared" si="31"/>
        <v/>
      </c>
      <c r="AN35" s="79" t="str">
        <f t="shared" si="31"/>
        <v/>
      </c>
      <c r="AO35" s="79" t="str">
        <f t="shared" si="31"/>
        <v/>
      </c>
      <c r="AP35" s="79" t="str">
        <f t="shared" si="31"/>
        <v/>
      </c>
      <c r="AQ35" s="3"/>
      <c r="AR35" s="3"/>
    </row>
    <row r="36" spans="1:44" ht="15.75" customHeight="1">
      <c r="A36" s="3"/>
      <c r="B36" s="3"/>
      <c r="C36" s="44" t="s">
        <v>253</v>
      </c>
      <c r="D36" s="77"/>
      <c r="E36" s="77"/>
      <c r="F36" s="77"/>
      <c r="G36" s="77"/>
      <c r="H36" s="77"/>
      <c r="I36" s="77"/>
      <c r="J36" s="3"/>
      <c r="K36" s="77"/>
      <c r="L36" s="77"/>
      <c r="M36" s="77"/>
      <c r="N36" s="77"/>
      <c r="O36" s="77"/>
      <c r="P36" s="77"/>
      <c r="Q36" s="3"/>
      <c r="R36" s="78">
        <f t="shared" si="28"/>
        <v>0</v>
      </c>
      <c r="S36" s="78">
        <f t="shared" si="28"/>
        <v>0</v>
      </c>
      <c r="T36" s="78">
        <f t="shared" si="28"/>
        <v>0</v>
      </c>
      <c r="U36" s="78">
        <f t="shared" si="28"/>
        <v>0</v>
      </c>
      <c r="V36" s="78">
        <f t="shared" si="28"/>
        <v>0</v>
      </c>
      <c r="W36" s="78">
        <f t="shared" si="28"/>
        <v>0</v>
      </c>
      <c r="X36" s="3"/>
      <c r="Y36" s="78" t="str">
        <f t="shared" si="29"/>
        <v/>
      </c>
      <c r="Z36" s="78" t="str">
        <f t="shared" si="29"/>
        <v/>
      </c>
      <c r="AA36" s="78" t="str">
        <f t="shared" si="29"/>
        <v/>
      </c>
      <c r="AB36" s="78" t="str">
        <f t="shared" si="29"/>
        <v/>
      </c>
      <c r="AC36" s="78" t="str">
        <f t="shared" si="29"/>
        <v/>
      </c>
      <c r="AD36" s="78" t="str">
        <f t="shared" si="29"/>
        <v/>
      </c>
      <c r="AE36" s="3"/>
      <c r="AF36" s="79" t="str">
        <f t="shared" si="30"/>
        <v/>
      </c>
      <c r="AG36" s="79" t="str">
        <f t="shared" si="30"/>
        <v/>
      </c>
      <c r="AH36" s="79" t="str">
        <f t="shared" si="30"/>
        <v/>
      </c>
      <c r="AI36" s="79" t="str">
        <f t="shared" si="30"/>
        <v/>
      </c>
      <c r="AJ36" s="79" t="str">
        <f t="shared" si="30"/>
        <v/>
      </c>
      <c r="AK36" s="3"/>
      <c r="AL36" s="79" t="str">
        <f t="shared" si="31"/>
        <v/>
      </c>
      <c r="AM36" s="79" t="str">
        <f t="shared" si="31"/>
        <v/>
      </c>
      <c r="AN36" s="79" t="str">
        <f t="shared" si="31"/>
        <v/>
      </c>
      <c r="AO36" s="79" t="str">
        <f t="shared" si="31"/>
        <v/>
      </c>
      <c r="AP36" s="79" t="str">
        <f t="shared" si="31"/>
        <v/>
      </c>
      <c r="AQ36" s="3"/>
      <c r="AR36" s="3"/>
    </row>
    <row r="37" spans="1:44" ht="15.75" customHeight="1">
      <c r="A37" s="3"/>
      <c r="B37" s="3"/>
      <c r="C37" s="44" t="s">
        <v>254</v>
      </c>
      <c r="D37" s="77"/>
      <c r="E37" s="77"/>
      <c r="F37" s="77"/>
      <c r="G37" s="77"/>
      <c r="H37" s="77"/>
      <c r="I37" s="77"/>
      <c r="J37" s="3"/>
      <c r="K37" s="77"/>
      <c r="L37" s="77"/>
      <c r="M37" s="77"/>
      <c r="N37" s="77"/>
      <c r="O37" s="77"/>
      <c r="P37" s="77"/>
      <c r="Q37" s="3"/>
      <c r="R37" s="78">
        <f t="shared" si="28"/>
        <v>0</v>
      </c>
      <c r="S37" s="78">
        <f t="shared" si="28"/>
        <v>0</v>
      </c>
      <c r="T37" s="78">
        <f t="shared" si="28"/>
        <v>0</v>
      </c>
      <c r="U37" s="78">
        <f t="shared" si="28"/>
        <v>0</v>
      </c>
      <c r="V37" s="78">
        <f t="shared" si="28"/>
        <v>0</v>
      </c>
      <c r="W37" s="78">
        <f t="shared" si="28"/>
        <v>0</v>
      </c>
      <c r="X37" s="3"/>
      <c r="Y37" s="78" t="str">
        <f t="shared" si="29"/>
        <v/>
      </c>
      <c r="Z37" s="78" t="str">
        <f t="shared" si="29"/>
        <v/>
      </c>
      <c r="AA37" s="78" t="str">
        <f t="shared" si="29"/>
        <v/>
      </c>
      <c r="AB37" s="78" t="str">
        <f t="shared" si="29"/>
        <v/>
      </c>
      <c r="AC37" s="78" t="str">
        <f t="shared" si="29"/>
        <v/>
      </c>
      <c r="AD37" s="78" t="str">
        <f t="shared" si="29"/>
        <v/>
      </c>
      <c r="AE37" s="3"/>
      <c r="AF37" s="79" t="str">
        <f t="shared" si="30"/>
        <v/>
      </c>
      <c r="AG37" s="79" t="str">
        <f t="shared" si="30"/>
        <v/>
      </c>
      <c r="AH37" s="79" t="str">
        <f t="shared" si="30"/>
        <v/>
      </c>
      <c r="AI37" s="79" t="str">
        <f t="shared" si="30"/>
        <v/>
      </c>
      <c r="AJ37" s="79" t="str">
        <f t="shared" si="30"/>
        <v/>
      </c>
      <c r="AK37" s="3"/>
      <c r="AL37" s="79" t="str">
        <f t="shared" si="31"/>
        <v/>
      </c>
      <c r="AM37" s="79" t="str">
        <f t="shared" si="31"/>
        <v/>
      </c>
      <c r="AN37" s="79" t="str">
        <f t="shared" si="31"/>
        <v/>
      </c>
      <c r="AO37" s="79" t="str">
        <f t="shared" si="31"/>
        <v/>
      </c>
      <c r="AP37" s="79" t="str">
        <f t="shared" si="31"/>
        <v/>
      </c>
      <c r="AQ37" s="3"/>
      <c r="AR37" s="3"/>
    </row>
    <row r="38" spans="1:44" ht="15.75" customHeight="1">
      <c r="A38" s="3"/>
      <c r="B38" s="3"/>
      <c r="C38" s="44" t="s">
        <v>255</v>
      </c>
      <c r="D38" s="77"/>
      <c r="E38" s="77"/>
      <c r="F38" s="77"/>
      <c r="G38" s="77"/>
      <c r="H38" s="77"/>
      <c r="I38" s="77"/>
      <c r="J38" s="3"/>
      <c r="K38" s="77"/>
      <c r="L38" s="77"/>
      <c r="M38" s="77"/>
      <c r="N38" s="77"/>
      <c r="O38" s="77"/>
      <c r="P38" s="77"/>
      <c r="Q38" s="3"/>
      <c r="R38" s="78">
        <f t="shared" si="28"/>
        <v>0</v>
      </c>
      <c r="S38" s="78">
        <f t="shared" si="28"/>
        <v>0</v>
      </c>
      <c r="T38" s="78">
        <f t="shared" si="28"/>
        <v>0</v>
      </c>
      <c r="U38" s="78">
        <f t="shared" si="28"/>
        <v>0</v>
      </c>
      <c r="V38" s="78">
        <f t="shared" si="28"/>
        <v>0</v>
      </c>
      <c r="W38" s="78">
        <f t="shared" si="28"/>
        <v>0</v>
      </c>
      <c r="X38" s="3"/>
      <c r="Y38" s="78" t="str">
        <f t="shared" si="29"/>
        <v/>
      </c>
      <c r="Z38" s="78" t="str">
        <f t="shared" si="29"/>
        <v/>
      </c>
      <c r="AA38" s="78" t="str">
        <f t="shared" si="29"/>
        <v/>
      </c>
      <c r="AB38" s="78" t="str">
        <f t="shared" si="29"/>
        <v/>
      </c>
      <c r="AC38" s="78" t="str">
        <f t="shared" si="29"/>
        <v/>
      </c>
      <c r="AD38" s="78" t="str">
        <f t="shared" si="29"/>
        <v/>
      </c>
      <c r="AE38" s="3"/>
      <c r="AF38" s="79" t="str">
        <f t="shared" si="30"/>
        <v/>
      </c>
      <c r="AG38" s="79" t="str">
        <f t="shared" si="30"/>
        <v/>
      </c>
      <c r="AH38" s="79" t="str">
        <f t="shared" si="30"/>
        <v/>
      </c>
      <c r="AI38" s="79" t="str">
        <f t="shared" si="30"/>
        <v/>
      </c>
      <c r="AJ38" s="79" t="str">
        <f t="shared" si="30"/>
        <v/>
      </c>
      <c r="AK38" s="3"/>
      <c r="AL38" s="79" t="str">
        <f t="shared" si="31"/>
        <v/>
      </c>
      <c r="AM38" s="79" t="str">
        <f t="shared" si="31"/>
        <v/>
      </c>
      <c r="AN38" s="79" t="str">
        <f t="shared" si="31"/>
        <v/>
      </c>
      <c r="AO38" s="79" t="str">
        <f t="shared" si="31"/>
        <v/>
      </c>
      <c r="AP38" s="79" t="str">
        <f t="shared" si="31"/>
        <v/>
      </c>
      <c r="AQ38" s="3"/>
      <c r="AR38" s="3"/>
    </row>
    <row r="39" spans="1:44" ht="15.75" customHeight="1">
      <c r="A39" s="3"/>
      <c r="B39" s="3"/>
      <c r="C39" s="44" t="s">
        <v>256</v>
      </c>
      <c r="D39" s="77"/>
      <c r="E39" s="77"/>
      <c r="F39" s="77"/>
      <c r="G39" s="77"/>
      <c r="H39" s="77"/>
      <c r="I39" s="77"/>
      <c r="J39" s="3"/>
      <c r="K39" s="77"/>
      <c r="L39" s="77"/>
      <c r="M39" s="77"/>
      <c r="N39" s="77"/>
      <c r="O39" s="77"/>
      <c r="P39" s="77"/>
      <c r="Q39" s="3"/>
      <c r="R39" s="78">
        <f t="shared" si="28"/>
        <v>0</v>
      </c>
      <c r="S39" s="78">
        <f t="shared" si="28"/>
        <v>0</v>
      </c>
      <c r="T39" s="78">
        <f t="shared" si="28"/>
        <v>0</v>
      </c>
      <c r="U39" s="78">
        <f t="shared" si="28"/>
        <v>0</v>
      </c>
      <c r="V39" s="78">
        <f t="shared" si="28"/>
        <v>0</v>
      </c>
      <c r="W39" s="78">
        <f t="shared" si="28"/>
        <v>0</v>
      </c>
      <c r="X39" s="3"/>
      <c r="Y39" s="78" t="str">
        <f t="shared" si="29"/>
        <v/>
      </c>
      <c r="Z39" s="78" t="str">
        <f t="shared" si="29"/>
        <v/>
      </c>
      <c r="AA39" s="78" t="str">
        <f t="shared" si="29"/>
        <v/>
      </c>
      <c r="AB39" s="78" t="str">
        <f t="shared" si="29"/>
        <v/>
      </c>
      <c r="AC39" s="78" t="str">
        <f t="shared" si="29"/>
        <v/>
      </c>
      <c r="AD39" s="78" t="str">
        <f t="shared" si="29"/>
        <v/>
      </c>
      <c r="AE39" s="3"/>
      <c r="AF39" s="79" t="str">
        <f t="shared" si="30"/>
        <v/>
      </c>
      <c r="AG39" s="79" t="str">
        <f t="shared" si="30"/>
        <v/>
      </c>
      <c r="AH39" s="79" t="str">
        <f t="shared" si="30"/>
        <v/>
      </c>
      <c r="AI39" s="79" t="str">
        <f t="shared" si="30"/>
        <v/>
      </c>
      <c r="AJ39" s="79" t="str">
        <f t="shared" si="30"/>
        <v/>
      </c>
      <c r="AK39" s="3"/>
      <c r="AL39" s="79" t="str">
        <f t="shared" si="31"/>
        <v/>
      </c>
      <c r="AM39" s="79" t="str">
        <f t="shared" si="31"/>
        <v/>
      </c>
      <c r="AN39" s="79" t="str">
        <f t="shared" si="31"/>
        <v/>
      </c>
      <c r="AO39" s="79" t="str">
        <f t="shared" si="31"/>
        <v/>
      </c>
      <c r="AP39" s="79" t="str">
        <f t="shared" si="31"/>
        <v/>
      </c>
      <c r="AQ39" s="3"/>
      <c r="AR39" s="3"/>
    </row>
    <row r="40" spans="1:44" ht="15.75" customHeight="1">
      <c r="A40" s="3"/>
      <c r="B40" s="3"/>
      <c r="C40" s="80" t="s">
        <v>257</v>
      </c>
      <c r="D40" s="81">
        <f t="shared" ref="D40:I40" si="32">SUM(D35:D39)</f>
        <v>0</v>
      </c>
      <c r="E40" s="81">
        <f t="shared" si="32"/>
        <v>0</v>
      </c>
      <c r="F40" s="81">
        <f t="shared" si="32"/>
        <v>0</v>
      </c>
      <c r="G40" s="81">
        <f t="shared" si="32"/>
        <v>0</v>
      </c>
      <c r="H40" s="81">
        <f t="shared" si="32"/>
        <v>0</v>
      </c>
      <c r="I40" s="81">
        <f t="shared" si="32"/>
        <v>0</v>
      </c>
      <c r="J40" s="3"/>
      <c r="K40" s="81">
        <f t="shared" ref="K40:P40" si="33">SUM(K35:K39)</f>
        <v>0</v>
      </c>
      <c r="L40" s="81">
        <f t="shared" si="33"/>
        <v>0</v>
      </c>
      <c r="M40" s="81">
        <f t="shared" si="33"/>
        <v>0</v>
      </c>
      <c r="N40" s="81">
        <f t="shared" si="33"/>
        <v>0</v>
      </c>
      <c r="O40" s="81">
        <f t="shared" si="33"/>
        <v>0</v>
      </c>
      <c r="P40" s="81">
        <f t="shared" si="33"/>
        <v>0</v>
      </c>
      <c r="Q40" s="3"/>
      <c r="R40" s="82">
        <f t="shared" si="28"/>
        <v>0</v>
      </c>
      <c r="S40" s="82">
        <f t="shared" si="28"/>
        <v>0</v>
      </c>
      <c r="T40" s="82">
        <f t="shared" si="28"/>
        <v>0</v>
      </c>
      <c r="U40" s="82">
        <f t="shared" si="28"/>
        <v>0</v>
      </c>
      <c r="V40" s="82">
        <f t="shared" si="28"/>
        <v>0</v>
      </c>
      <c r="W40" s="82">
        <f t="shared" si="28"/>
        <v>0</v>
      </c>
      <c r="X40" s="3"/>
      <c r="Y40" s="82" t="str">
        <f t="shared" si="29"/>
        <v/>
      </c>
      <c r="Z40" s="82" t="str">
        <f t="shared" si="29"/>
        <v/>
      </c>
      <c r="AA40" s="82" t="str">
        <f t="shared" si="29"/>
        <v/>
      </c>
      <c r="AB40" s="82" t="str">
        <f t="shared" si="29"/>
        <v/>
      </c>
      <c r="AC40" s="82" t="str">
        <f t="shared" si="29"/>
        <v/>
      </c>
      <c r="AD40" s="82" t="str">
        <f t="shared" si="29"/>
        <v/>
      </c>
      <c r="AE40" s="3"/>
      <c r="AF40" s="83"/>
      <c r="AG40" s="83"/>
      <c r="AH40" s="83"/>
      <c r="AI40" s="83"/>
      <c r="AJ40" s="83"/>
      <c r="AK40" s="3"/>
      <c r="AL40" s="83"/>
      <c r="AM40" s="83"/>
      <c r="AN40" s="83"/>
      <c r="AO40" s="83"/>
      <c r="AP40" s="83"/>
      <c r="AQ40" s="3"/>
      <c r="AR40" s="3"/>
    </row>
    <row r="41" spans="1:44" ht="15.75" customHeight="1">
      <c r="A41" s="3"/>
      <c r="B41" s="3"/>
      <c r="C41" s="80" t="s">
        <v>258</v>
      </c>
      <c r="D41" s="81">
        <f t="shared" ref="D41:I41" si="34">D33+D40</f>
        <v>0</v>
      </c>
      <c r="E41" s="81">
        <f t="shared" si="34"/>
        <v>0</v>
      </c>
      <c r="F41" s="81">
        <f t="shared" si="34"/>
        <v>0</v>
      </c>
      <c r="G41" s="81">
        <f t="shared" si="34"/>
        <v>0</v>
      </c>
      <c r="H41" s="81">
        <f t="shared" si="34"/>
        <v>0</v>
      </c>
      <c r="I41" s="81">
        <f t="shared" si="34"/>
        <v>0</v>
      </c>
      <c r="J41" s="3"/>
      <c r="K41" s="81">
        <f t="shared" ref="K41:P41" si="35">K33+K40</f>
        <v>0</v>
      </c>
      <c r="L41" s="81">
        <f t="shared" si="35"/>
        <v>0</v>
      </c>
      <c r="M41" s="81">
        <f t="shared" si="35"/>
        <v>0</v>
      </c>
      <c r="N41" s="81">
        <f t="shared" si="35"/>
        <v>0</v>
      </c>
      <c r="O41" s="81">
        <f t="shared" si="35"/>
        <v>0</v>
      </c>
      <c r="P41" s="81">
        <f t="shared" si="35"/>
        <v>0</v>
      </c>
      <c r="Q41" s="3"/>
      <c r="R41" s="82">
        <f t="shared" si="28"/>
        <v>0</v>
      </c>
      <c r="S41" s="82">
        <f t="shared" si="28"/>
        <v>0</v>
      </c>
      <c r="T41" s="82">
        <f t="shared" si="28"/>
        <v>0</v>
      </c>
      <c r="U41" s="82">
        <f t="shared" si="28"/>
        <v>0</v>
      </c>
      <c r="V41" s="82">
        <f t="shared" si="28"/>
        <v>0</v>
      </c>
      <c r="W41" s="82">
        <f t="shared" si="28"/>
        <v>0</v>
      </c>
      <c r="X41" s="3"/>
      <c r="Y41" s="82" t="str">
        <f t="shared" si="29"/>
        <v/>
      </c>
      <c r="Z41" s="82" t="str">
        <f t="shared" si="29"/>
        <v/>
      </c>
      <c r="AA41" s="82" t="str">
        <f t="shared" si="29"/>
        <v/>
      </c>
      <c r="AB41" s="82" t="str">
        <f t="shared" si="29"/>
        <v/>
      </c>
      <c r="AC41" s="82" t="str">
        <f t="shared" si="29"/>
        <v/>
      </c>
      <c r="AD41" s="82" t="str">
        <f t="shared" si="29"/>
        <v/>
      </c>
      <c r="AE41" s="3"/>
      <c r="AF41" s="83"/>
      <c r="AG41" s="83"/>
      <c r="AH41" s="83"/>
      <c r="AI41" s="83"/>
      <c r="AJ41" s="83"/>
      <c r="AK41" s="3"/>
      <c r="AL41" s="83"/>
      <c r="AM41" s="83"/>
      <c r="AN41" s="83"/>
      <c r="AO41" s="83"/>
      <c r="AP41" s="83"/>
      <c r="AQ41" s="3"/>
      <c r="AR41" s="3"/>
    </row>
    <row r="42" spans="1:44" ht="15" customHeight="1">
      <c r="A42" s="3"/>
      <c r="B42" s="3"/>
      <c r="C42" s="84" t="s">
        <v>408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85">
        <f>IF(COUNT(AF7:AF41)=0,"",COUNTIF(AF7:AF41,"&gt;=0.3")+COUNTIF(AF7:AF41,"&lt;=-0.3"))</f>
        <v>0</v>
      </c>
      <c r="AG42" s="85">
        <f>IF(COUNT(AG7:AG41)=0,"",COUNTIF(AG7:AG41,"&gt;=0.3")+COUNTIF(AG7:AG41,"&lt;=-0.3"))</f>
        <v>1</v>
      </c>
      <c r="AH42" s="85">
        <f t="shared" ref="AH42:AK42" si="36">IF(COUNT(AH7:AH41)=0,"",COUNTIF(AH7:AH41,"&gt;=0.3")+COUNTIF(AH7:AH41,"&lt;=-0.3"))</f>
        <v>0</v>
      </c>
      <c r="AI42" s="85">
        <f t="shared" si="36"/>
        <v>0</v>
      </c>
      <c r="AJ42" s="85">
        <f t="shared" si="36"/>
        <v>0</v>
      </c>
      <c r="AK42" s="85" t="str">
        <f t="shared" si="36"/>
        <v/>
      </c>
      <c r="AL42" s="85" t="str">
        <f t="shared" ref="AL42" si="37">IF(COUNT(AL7:AL41)=0,"",COUNTIF(AL7:AL41,"&gt;=0.3")+COUNTIF(AL7:AL41,"&lt;=-0.3"))</f>
        <v/>
      </c>
      <c r="AM42" s="85" t="str">
        <f t="shared" ref="AM42" si="38">IF(COUNT(AM7:AM41)=0,"",COUNTIF(AM7:AM41,"&gt;=0.3")+COUNTIF(AM7:AM41,"&lt;=-0.3"))</f>
        <v/>
      </c>
      <c r="AN42" s="85" t="str">
        <f t="shared" ref="AN42:AO42" si="39">IF(COUNT(AN7:AN41)=0,"",COUNTIF(AN7:AN41,"&gt;=0.3")+COUNTIF(AN7:AN41,"&lt;=-0.3"))</f>
        <v/>
      </c>
      <c r="AO42" s="85" t="str">
        <f t="shared" si="39"/>
        <v/>
      </c>
      <c r="AP42" s="85" t="str">
        <f t="shared" ref="AP42" si="40">IF(COUNT(AP7:AP41)=0,"",COUNTIF(AP7:AP41,"&gt;=0.3")+COUNTIF(AP7:AP41,"&lt;=-0.3"))</f>
        <v/>
      </c>
      <c r="AQ42" s="3"/>
      <c r="AR42" s="3"/>
    </row>
    <row r="43" spans="1:44" ht="15.75" customHeight="1">
      <c r="A43" s="3"/>
      <c r="B43" s="3"/>
      <c r="C43" s="86" t="s">
        <v>259</v>
      </c>
      <c r="D43" s="87" t="str">
        <f>IF(D20=0,"미입력",IF(ABS(D20-D41)&lt;1,"OK","불일치"))</f>
        <v>불일치</v>
      </c>
      <c r="E43" s="87" t="str">
        <f t="shared" ref="E43:I43" si="41">IF(E20=0,"미입력",IF(ABS(E20-E41)&lt;1,"OK","불일치"))</f>
        <v>불일치</v>
      </c>
      <c r="F43" s="87" t="str">
        <f t="shared" si="41"/>
        <v>불일치</v>
      </c>
      <c r="G43" s="87" t="str">
        <f t="shared" si="41"/>
        <v>불일치</v>
      </c>
      <c r="H43" s="87" t="str">
        <f t="shared" si="41"/>
        <v>불일치</v>
      </c>
      <c r="I43" s="87" t="str">
        <f t="shared" si="41"/>
        <v>불일치</v>
      </c>
      <c r="J43" s="3"/>
      <c r="K43" s="87" t="str">
        <f t="shared" ref="K43:P43" si="42">IF(K20=0,"미입력",IF(ABS(K20-K41)&lt;1,"OK","불일치"))</f>
        <v>미입력</v>
      </c>
      <c r="L43" s="87" t="str">
        <f t="shared" si="42"/>
        <v>미입력</v>
      </c>
      <c r="M43" s="87" t="str">
        <f t="shared" si="42"/>
        <v>미입력</v>
      </c>
      <c r="N43" s="87" t="str">
        <f t="shared" si="42"/>
        <v>미입력</v>
      </c>
      <c r="O43" s="87" t="str">
        <f t="shared" si="42"/>
        <v>미입력</v>
      </c>
      <c r="P43" s="87" t="str">
        <f t="shared" si="42"/>
        <v>미입력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1:44" ht="15.75" customHeight="1">
      <c r="A44" s="3"/>
      <c r="B44" s="3"/>
      <c r="C44" s="80" t="s">
        <v>260</v>
      </c>
      <c r="D44" s="78" t="str">
        <f>IFERROR(D33/D40,"")</f>
        <v/>
      </c>
      <c r="E44" s="78" t="str">
        <f t="shared" ref="E44:I44" si="43">IFERROR(E33/E40,"")</f>
        <v/>
      </c>
      <c r="F44" s="78" t="str">
        <f t="shared" si="43"/>
        <v/>
      </c>
      <c r="G44" s="78" t="str">
        <f t="shared" si="43"/>
        <v/>
      </c>
      <c r="H44" s="78" t="str">
        <f t="shared" si="43"/>
        <v/>
      </c>
      <c r="I44" s="78" t="str">
        <f t="shared" si="43"/>
        <v/>
      </c>
      <c r="J44" s="3"/>
      <c r="K44" s="78" t="str">
        <f>IFERROR(K33/K40,"")</f>
        <v/>
      </c>
      <c r="L44" s="78" t="str">
        <f t="shared" ref="L44:P44" si="44">IFERROR(L33/L40,"")</f>
        <v/>
      </c>
      <c r="M44" s="78" t="str">
        <f t="shared" si="44"/>
        <v/>
      </c>
      <c r="N44" s="78" t="str">
        <f t="shared" si="44"/>
        <v/>
      </c>
      <c r="O44" s="78" t="str">
        <f t="shared" si="44"/>
        <v/>
      </c>
      <c r="P44" s="78" t="str">
        <f t="shared" si="44"/>
        <v/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1:44" ht="1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1:44" ht="18.75" customHeight="1">
      <c r="A46" s="3"/>
      <c r="B46" s="3"/>
      <c r="C46" s="119" t="s">
        <v>261</v>
      </c>
      <c r="D46" s="11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1:44" ht="91.5" customHeight="1">
      <c r="A47" s="3"/>
      <c r="B47" s="3"/>
      <c r="C47" s="120"/>
      <c r="D47" s="120"/>
      <c r="E47" s="120"/>
      <c r="F47" s="120"/>
      <c r="G47" s="120"/>
      <c r="H47" s="120"/>
      <c r="I47" s="120"/>
      <c r="J47" s="3"/>
      <c r="K47" s="121"/>
      <c r="L47" s="121"/>
      <c r="M47" s="121"/>
      <c r="N47" s="121"/>
      <c r="O47" s="121"/>
      <c r="P47" s="12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</sheetData>
  <mergeCells count="19">
    <mergeCell ref="B1:G1"/>
    <mergeCell ref="B2:J2"/>
    <mergeCell ref="D4:I4"/>
    <mergeCell ref="K4:P4"/>
    <mergeCell ref="R4:W4"/>
    <mergeCell ref="Y4:AD4"/>
    <mergeCell ref="AF4:AJ4"/>
    <mergeCell ref="AL4:AP4"/>
    <mergeCell ref="AR4:AY4"/>
    <mergeCell ref="AR6:BA6"/>
    <mergeCell ref="AR18:BC18"/>
    <mergeCell ref="C46:D46"/>
    <mergeCell ref="C47:I47"/>
    <mergeCell ref="K47:P47"/>
    <mergeCell ref="AR8:BB8"/>
    <mergeCell ref="AR10:BC10"/>
    <mergeCell ref="AR12:BB12"/>
    <mergeCell ref="AR14:BC14"/>
    <mergeCell ref="AR16:BC16"/>
  </mergeCells>
  <phoneticPr fontId="35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J23"/>
  <sheetViews>
    <sheetView showGridLines="0" zoomScaleNormal="100" workbookViewId="0">
      <selection activeCell="E10" sqref="E10"/>
    </sheetView>
  </sheetViews>
  <sheetFormatPr defaultColWidth="8.7109375" defaultRowHeight="15"/>
  <cols>
    <col min="2" max="2" width="3" customWidth="1"/>
    <col min="3" max="3" width="32.85546875" customWidth="1"/>
    <col min="4" max="4" width="67" customWidth="1"/>
    <col min="5" max="5" width="85.5703125" customWidth="1"/>
  </cols>
  <sheetData>
    <row r="1" spans="1:10" ht="25.5" customHeight="1">
      <c r="A1" s="3"/>
      <c r="B1" s="124" t="s">
        <v>262</v>
      </c>
      <c r="C1" s="124"/>
      <c r="D1" s="124"/>
      <c r="E1" s="3"/>
      <c r="F1" s="3"/>
      <c r="G1" s="3"/>
      <c r="H1" s="3"/>
      <c r="I1" s="3"/>
      <c r="J1" s="3"/>
    </row>
    <row r="2" spans="1:10" ht="27.75" customHeight="1">
      <c r="A2" s="3"/>
      <c r="B2" s="129" t="s">
        <v>263</v>
      </c>
      <c r="C2" s="129"/>
      <c r="D2" s="129"/>
      <c r="E2" s="129"/>
      <c r="F2" s="3"/>
      <c r="G2" s="3"/>
      <c r="H2" s="3"/>
      <c r="I2" s="3"/>
      <c r="J2" s="3"/>
    </row>
    <row r="3" spans="1:10" ht="15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16.5">
      <c r="A4" s="3"/>
      <c r="B4" s="3"/>
      <c r="C4" s="55" t="s">
        <v>27</v>
      </c>
      <c r="D4" s="55" t="s">
        <v>28</v>
      </c>
      <c r="E4" s="55" t="s">
        <v>29</v>
      </c>
      <c r="F4" s="3"/>
      <c r="G4" s="3"/>
      <c r="H4" s="3"/>
      <c r="I4" s="3"/>
      <c r="J4" s="3"/>
    </row>
    <row r="5" spans="1:10" ht="49.15" customHeight="1">
      <c r="A5" s="3"/>
      <c r="B5" s="3"/>
      <c r="C5" s="90" t="s">
        <v>264</v>
      </c>
      <c r="D5" s="91"/>
      <c r="E5" s="92"/>
      <c r="F5" s="159" t="s">
        <v>265</v>
      </c>
      <c r="G5" s="159"/>
      <c r="H5" s="159"/>
      <c r="I5" s="159"/>
      <c r="J5" s="159"/>
    </row>
    <row r="6" spans="1:10" ht="57.4" customHeight="1">
      <c r="A6" s="3"/>
      <c r="B6" s="3"/>
      <c r="C6" s="93" t="s">
        <v>409</v>
      </c>
      <c r="D6" s="92"/>
      <c r="E6" s="92"/>
      <c r="F6" s="159" t="s">
        <v>266</v>
      </c>
      <c r="G6" s="159"/>
      <c r="H6" s="159"/>
      <c r="I6" s="159"/>
      <c r="J6" s="159"/>
    </row>
    <row r="7" spans="1:10" ht="60.4" customHeight="1">
      <c r="A7" s="3"/>
      <c r="B7" s="3"/>
      <c r="C7" s="90" t="s">
        <v>267</v>
      </c>
      <c r="D7" s="92"/>
      <c r="E7" s="92"/>
      <c r="F7" s="159" t="s">
        <v>268</v>
      </c>
      <c r="G7" s="159"/>
      <c r="H7" s="159"/>
      <c r="I7" s="159"/>
      <c r="J7" s="159"/>
    </row>
    <row r="8" spans="1:10" ht="56.65" customHeight="1">
      <c r="A8" s="3"/>
      <c r="B8" s="3"/>
      <c r="C8" s="90" t="s">
        <v>269</v>
      </c>
      <c r="D8" s="92"/>
      <c r="E8" s="92"/>
      <c r="F8" s="159" t="s">
        <v>270</v>
      </c>
      <c r="G8" s="159"/>
      <c r="H8" s="159"/>
      <c r="I8" s="159"/>
      <c r="J8" s="159"/>
    </row>
    <row r="9" spans="1:10" ht="74.650000000000006" customHeight="1">
      <c r="A9" s="3"/>
      <c r="B9" s="3"/>
      <c r="C9" s="90" t="s">
        <v>271</v>
      </c>
      <c r="D9" s="91"/>
      <c r="E9" s="91"/>
      <c r="F9" s="159" t="s">
        <v>272</v>
      </c>
      <c r="G9" s="159"/>
      <c r="H9" s="159"/>
      <c r="I9" s="159"/>
      <c r="J9" s="159"/>
    </row>
    <row r="10" spans="1:10" ht="55.5" customHeight="1">
      <c r="A10" s="3"/>
      <c r="B10" s="3"/>
      <c r="C10" s="90" t="s">
        <v>273</v>
      </c>
      <c r="D10" s="91"/>
      <c r="E10" s="91"/>
      <c r="F10" s="159"/>
      <c r="G10" s="159"/>
      <c r="H10" s="159"/>
      <c r="I10" s="159"/>
      <c r="J10" s="159"/>
    </row>
    <row r="11" spans="1:10" ht="49.5" customHeight="1">
      <c r="A11" s="3"/>
      <c r="B11" s="3"/>
      <c r="C11" s="90" t="s">
        <v>274</v>
      </c>
      <c r="D11" s="91"/>
      <c r="E11" s="91"/>
      <c r="F11" s="159"/>
      <c r="G11" s="159"/>
      <c r="H11" s="159"/>
      <c r="I11" s="159"/>
      <c r="J11" s="159"/>
    </row>
    <row r="12" spans="1:10" ht="64.150000000000006" customHeight="1">
      <c r="A12" s="3"/>
      <c r="B12" s="3"/>
      <c r="C12" s="90" t="s">
        <v>275</v>
      </c>
      <c r="D12" s="92"/>
      <c r="E12" s="92"/>
      <c r="F12" s="161" t="s">
        <v>410</v>
      </c>
      <c r="G12" s="161"/>
      <c r="H12" s="161"/>
      <c r="I12" s="161"/>
      <c r="J12" s="161"/>
    </row>
    <row r="13" spans="1:10" ht="57.75" customHeight="1">
      <c r="A13" s="3"/>
      <c r="B13" s="3"/>
      <c r="C13" s="90" t="s">
        <v>276</v>
      </c>
      <c r="D13" s="92"/>
      <c r="E13" s="91"/>
      <c r="F13" s="159" t="s">
        <v>277</v>
      </c>
      <c r="G13" s="159"/>
      <c r="H13" s="159"/>
      <c r="I13" s="159"/>
      <c r="J13" s="159"/>
    </row>
    <row r="14" spans="1:10" ht="16.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16.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6.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16.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16.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6.5">
      <c r="A19" s="3"/>
      <c r="B19" s="3"/>
      <c r="C19" s="3"/>
      <c r="D19" s="3"/>
      <c r="E19" s="160"/>
      <c r="F19" s="160"/>
      <c r="G19" s="3"/>
      <c r="H19" s="3"/>
      <c r="I19" s="3"/>
      <c r="J19" s="3"/>
    </row>
    <row r="20" spans="1:10" ht="16.5">
      <c r="A20" s="3"/>
      <c r="B20" s="3"/>
      <c r="C20" s="3"/>
      <c r="D20" s="94"/>
      <c r="E20" s="160"/>
      <c r="F20" s="160"/>
      <c r="G20" s="3"/>
      <c r="H20" s="3"/>
      <c r="I20" s="3"/>
      <c r="J20" s="3"/>
    </row>
    <row r="21" spans="1:10" ht="16.5">
      <c r="A21" s="3"/>
      <c r="B21" s="3"/>
      <c r="C21" s="3"/>
      <c r="D21" s="94"/>
      <c r="E21" s="3"/>
      <c r="F21" s="3"/>
      <c r="G21" s="3"/>
      <c r="H21" s="3"/>
      <c r="I21" s="3"/>
      <c r="J21" s="3"/>
    </row>
    <row r="22" spans="1:10" ht="16.5">
      <c r="A22" s="3"/>
      <c r="B22" s="3"/>
      <c r="C22" s="3"/>
      <c r="D22" s="94"/>
      <c r="E22" s="3"/>
      <c r="F22" s="3"/>
      <c r="G22" s="3"/>
      <c r="H22" s="3"/>
      <c r="I22" s="3"/>
      <c r="J22" s="3"/>
    </row>
    <row r="23" spans="1:10" ht="16.5">
      <c r="A23" s="3"/>
      <c r="B23" s="3"/>
      <c r="C23" s="3"/>
      <c r="D23" s="94"/>
      <c r="E23" s="160"/>
      <c r="F23" s="160"/>
      <c r="G23" s="3"/>
      <c r="H23" s="3"/>
      <c r="I23" s="3"/>
      <c r="J23" s="3"/>
    </row>
  </sheetData>
  <mergeCells count="14">
    <mergeCell ref="B1:D1"/>
    <mergeCell ref="B2:E2"/>
    <mergeCell ref="F5:J5"/>
    <mergeCell ref="F6:J6"/>
    <mergeCell ref="F7:J7"/>
    <mergeCell ref="F13:J13"/>
    <mergeCell ref="E19:F19"/>
    <mergeCell ref="E20:F20"/>
    <mergeCell ref="E23:F23"/>
    <mergeCell ref="F8:J8"/>
    <mergeCell ref="F9:J9"/>
    <mergeCell ref="F10:J10"/>
    <mergeCell ref="F11:J11"/>
    <mergeCell ref="F12:J12"/>
  </mergeCells>
  <phoneticPr fontId="35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C59"/>
  <sheetViews>
    <sheetView showGridLines="0" zoomScaleNormal="100" workbookViewId="0">
      <selection activeCell="B2" sqref="B2:J2"/>
    </sheetView>
  </sheetViews>
  <sheetFormatPr defaultColWidth="8.7109375" defaultRowHeight="15"/>
  <cols>
    <col min="1" max="1" width="4.7109375" customWidth="1"/>
    <col min="2" max="2" width="3" customWidth="1"/>
    <col min="3" max="3" width="49.85546875" customWidth="1"/>
    <col min="4" max="4" width="13" customWidth="1"/>
    <col min="5" max="7" width="12.85546875" bestFit="1" customWidth="1"/>
    <col min="8" max="8" width="18" customWidth="1"/>
    <col min="9" max="9" width="19.85546875" customWidth="1"/>
    <col min="10" max="10" width="2" customWidth="1"/>
    <col min="11" max="11" width="13" customWidth="1"/>
    <col min="12" max="16" width="14.140625" bestFit="1" customWidth="1"/>
    <col min="17" max="17" width="2" customWidth="1"/>
    <col min="18" max="18" width="4" customWidth="1"/>
  </cols>
  <sheetData>
    <row r="1" spans="1:29" ht="25.5" customHeight="1">
      <c r="A1" s="3"/>
      <c r="B1" s="183" t="s">
        <v>278</v>
      </c>
      <c r="C1" s="183"/>
      <c r="D1" s="183"/>
      <c r="E1" s="18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29" ht="27.75" customHeight="1">
      <c r="A2" s="3"/>
      <c r="B2" s="125" t="s">
        <v>279</v>
      </c>
      <c r="C2" s="125"/>
      <c r="D2" s="125"/>
      <c r="E2" s="125"/>
      <c r="F2" s="125"/>
      <c r="G2" s="125"/>
      <c r="H2" s="125"/>
      <c r="I2" s="125"/>
      <c r="J2" s="125"/>
      <c r="K2" s="3"/>
      <c r="L2" s="3"/>
      <c r="M2" s="3"/>
      <c r="N2" s="3"/>
      <c r="O2" s="3"/>
      <c r="P2" s="3"/>
      <c r="Q2" s="3"/>
      <c r="R2" s="3"/>
    </row>
    <row r="3" spans="1:29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9" ht="16.5">
      <c r="A4" s="3"/>
      <c r="B4" s="3"/>
      <c r="C4" s="7" t="s">
        <v>280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29" ht="16.5">
      <c r="A5" s="3"/>
      <c r="B5" s="3"/>
      <c r="C5" s="3"/>
      <c r="D5" s="122" t="s">
        <v>28</v>
      </c>
      <c r="E5" s="122"/>
      <c r="F5" s="122"/>
      <c r="G5" s="122"/>
      <c r="H5" s="122"/>
      <c r="I5" s="122"/>
      <c r="J5" s="3"/>
      <c r="K5" s="122" t="s">
        <v>29</v>
      </c>
      <c r="L5" s="122"/>
      <c r="M5" s="122"/>
      <c r="N5" s="122"/>
      <c r="O5" s="122"/>
      <c r="P5" s="122"/>
      <c r="Q5" s="3"/>
      <c r="R5" s="3"/>
    </row>
    <row r="6" spans="1:29" ht="16.5">
      <c r="A6" s="3"/>
      <c r="B6" s="3"/>
      <c r="C6" s="55" t="s">
        <v>27</v>
      </c>
      <c r="D6" s="71" t="s">
        <v>211</v>
      </c>
      <c r="E6" s="71" t="s">
        <v>212</v>
      </c>
      <c r="F6" s="71" t="s">
        <v>213</v>
      </c>
      <c r="G6" s="71" t="s">
        <v>214</v>
      </c>
      <c r="H6" s="71" t="s">
        <v>215</v>
      </c>
      <c r="I6" s="71" t="s">
        <v>216</v>
      </c>
      <c r="J6" s="3"/>
      <c r="K6" s="71" t="s">
        <v>211</v>
      </c>
      <c r="L6" s="71" t="s">
        <v>212</v>
      </c>
      <c r="M6" s="71" t="s">
        <v>213</v>
      </c>
      <c r="N6" s="71" t="s">
        <v>214</v>
      </c>
      <c r="O6" s="71" t="s">
        <v>215</v>
      </c>
      <c r="P6" s="71" t="s">
        <v>216</v>
      </c>
      <c r="Q6" s="3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</row>
    <row r="7" spans="1:29" ht="32.65" customHeight="1">
      <c r="A7" s="3"/>
      <c r="B7" s="3"/>
      <c r="C7" s="95" t="s">
        <v>281</v>
      </c>
      <c r="D7" s="96">
        <f>'2-1_재무상태표'!D40</f>
        <v>0</v>
      </c>
      <c r="E7" s="96">
        <f>'2-1_재무상태표'!E40</f>
        <v>0</v>
      </c>
      <c r="F7" s="96">
        <f>'2-1_재무상태표'!F40</f>
        <v>0</v>
      </c>
      <c r="G7" s="96">
        <f>'2-1_재무상태표'!G40</f>
        <v>0</v>
      </c>
      <c r="H7" s="96">
        <f>'2-1_재무상태표'!H40</f>
        <v>0</v>
      </c>
      <c r="I7" s="96">
        <f>'2-1_재무상태표'!I40</f>
        <v>0</v>
      </c>
      <c r="J7" s="3"/>
      <c r="K7" s="96">
        <f>'2-1_재무상태표'!K40</f>
        <v>0</v>
      </c>
      <c r="L7" s="96">
        <f>'2-1_재무상태표'!L40</f>
        <v>0</v>
      </c>
      <c r="M7" s="96">
        <f>'2-1_재무상태표'!M40</f>
        <v>0</v>
      </c>
      <c r="N7" s="96">
        <f>'2-1_재무상태표'!N40</f>
        <v>0</v>
      </c>
      <c r="O7" s="96">
        <f>'2-1_재무상태표'!O40</f>
        <v>0</v>
      </c>
      <c r="P7" s="96">
        <f>'2-1_재무상태표'!P40</f>
        <v>0</v>
      </c>
      <c r="Q7" s="3"/>
      <c r="R7" s="181" t="s">
        <v>282</v>
      </c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</row>
    <row r="8" spans="1:29" ht="16.5">
      <c r="A8" s="3"/>
      <c r="B8" s="3"/>
      <c r="C8" s="95" t="s">
        <v>283</v>
      </c>
      <c r="D8" s="96">
        <f>'2-1_재무상태표'!D39</f>
        <v>0</v>
      </c>
      <c r="E8" s="96">
        <f>'2-1_재무상태표'!E39</f>
        <v>0</v>
      </c>
      <c r="F8" s="96">
        <f>'2-1_재무상태표'!F39</f>
        <v>0</v>
      </c>
      <c r="G8" s="96">
        <f>'2-1_재무상태표'!G39</f>
        <v>0</v>
      </c>
      <c r="H8" s="96">
        <f>'2-1_재무상태표'!H39</f>
        <v>0</v>
      </c>
      <c r="I8" s="96">
        <f>'2-1_재무상태표'!I39</f>
        <v>0</v>
      </c>
      <c r="J8" s="3"/>
      <c r="K8" s="96">
        <f>'2-1_재무상태표'!K39</f>
        <v>0</v>
      </c>
      <c r="L8" s="96">
        <f>'2-1_재무상태표'!L39</f>
        <v>0</v>
      </c>
      <c r="M8" s="96">
        <f>'2-1_재무상태표'!M39</f>
        <v>0</v>
      </c>
      <c r="N8" s="96">
        <f>'2-1_재무상태표'!N39</f>
        <v>0</v>
      </c>
      <c r="O8" s="96">
        <f>'2-1_재무상태표'!O39</f>
        <v>0</v>
      </c>
      <c r="P8" s="96">
        <f>'2-1_재무상태표'!P39</f>
        <v>0</v>
      </c>
      <c r="Q8" s="3"/>
      <c r="R8" s="112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</row>
    <row r="9" spans="1:29" ht="16.5">
      <c r="A9" s="3"/>
      <c r="B9" s="3"/>
      <c r="C9" s="97" t="s">
        <v>284</v>
      </c>
      <c r="D9" s="98">
        <f>D7-D8</f>
        <v>0</v>
      </c>
      <c r="E9" s="98">
        <f t="shared" ref="E9:I9" si="0">E7-E8</f>
        <v>0</v>
      </c>
      <c r="F9" s="98">
        <f t="shared" si="0"/>
        <v>0</v>
      </c>
      <c r="G9" s="98">
        <f t="shared" si="0"/>
        <v>0</v>
      </c>
      <c r="H9" s="98">
        <f t="shared" si="0"/>
        <v>0</v>
      </c>
      <c r="I9" s="98">
        <f t="shared" si="0"/>
        <v>0</v>
      </c>
      <c r="J9" s="3"/>
      <c r="K9" s="98">
        <f t="shared" ref="K9:P9" si="1">K7-K8</f>
        <v>0</v>
      </c>
      <c r="L9" s="98">
        <f t="shared" si="1"/>
        <v>0</v>
      </c>
      <c r="M9" s="98">
        <f t="shared" si="1"/>
        <v>0</v>
      </c>
      <c r="N9" s="98">
        <f t="shared" si="1"/>
        <v>0</v>
      </c>
      <c r="O9" s="98">
        <f t="shared" si="1"/>
        <v>0</v>
      </c>
      <c r="P9" s="98">
        <f t="shared" si="1"/>
        <v>0</v>
      </c>
      <c r="Q9" s="3"/>
      <c r="R9" s="112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</row>
    <row r="10" spans="1:29" ht="28.15" customHeight="1">
      <c r="A10" s="3"/>
      <c r="B10" s="3"/>
      <c r="C10" s="95" t="s">
        <v>285</v>
      </c>
      <c r="D10" s="99"/>
      <c r="E10" s="99"/>
      <c r="F10" s="99"/>
      <c r="G10" s="99"/>
      <c r="H10" s="99"/>
      <c r="I10" s="99"/>
      <c r="J10" s="3"/>
      <c r="K10" s="99"/>
      <c r="L10" s="99"/>
      <c r="M10" s="99"/>
      <c r="N10" s="99"/>
      <c r="O10" s="99"/>
      <c r="P10" s="99"/>
      <c r="Q10" s="3"/>
      <c r="R10" s="181" t="s">
        <v>286</v>
      </c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</row>
    <row r="11" spans="1:29" ht="16.5">
      <c r="A11" s="3"/>
      <c r="B11" s="3"/>
      <c r="C11" s="95" t="s">
        <v>287</v>
      </c>
      <c r="D11" s="99"/>
      <c r="E11" s="99"/>
      <c r="F11" s="99"/>
      <c r="G11" s="99"/>
      <c r="H11" s="99"/>
      <c r="I11" s="99"/>
      <c r="J11" s="3"/>
      <c r="K11" s="99"/>
      <c r="L11" s="99"/>
      <c r="M11" s="99"/>
      <c r="N11" s="99"/>
      <c r="O11" s="99"/>
      <c r="P11" s="99"/>
      <c r="Q11" s="3"/>
      <c r="R11" s="112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</row>
    <row r="12" spans="1:29" ht="16.5">
      <c r="A12" s="3"/>
      <c r="B12" s="3"/>
      <c r="C12" s="95" t="s">
        <v>288</v>
      </c>
      <c r="D12" s="100" t="str">
        <f t="shared" ref="D12:I12" si="2">IF(D10="","",D10-D11)</f>
        <v/>
      </c>
      <c r="E12" s="100" t="str">
        <f t="shared" si="2"/>
        <v/>
      </c>
      <c r="F12" s="100" t="str">
        <f t="shared" si="2"/>
        <v/>
      </c>
      <c r="G12" s="100" t="str">
        <f t="shared" si="2"/>
        <v/>
      </c>
      <c r="H12" s="100" t="str">
        <f t="shared" si="2"/>
        <v/>
      </c>
      <c r="I12" s="100" t="str">
        <f t="shared" si="2"/>
        <v/>
      </c>
      <c r="J12" s="3"/>
      <c r="K12" s="100" t="str">
        <f t="shared" ref="K12:P12" si="3">IF(K10="","",K10-K11)</f>
        <v/>
      </c>
      <c r="L12" s="100" t="str">
        <f t="shared" si="3"/>
        <v/>
      </c>
      <c r="M12" s="100" t="str">
        <f t="shared" si="3"/>
        <v/>
      </c>
      <c r="N12" s="100" t="str">
        <f t="shared" si="3"/>
        <v/>
      </c>
      <c r="O12" s="100" t="str">
        <f t="shared" si="3"/>
        <v/>
      </c>
      <c r="P12" s="100" t="str">
        <f t="shared" si="3"/>
        <v/>
      </c>
      <c r="Q12" s="3"/>
      <c r="R12" s="112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</row>
    <row r="13" spans="1:29" ht="34.9" customHeight="1">
      <c r="A13" s="3"/>
      <c r="B13" s="3"/>
      <c r="C13" s="101" t="s">
        <v>411</v>
      </c>
      <c r="D13" s="99"/>
      <c r="E13" s="99"/>
      <c r="F13" s="99"/>
      <c r="G13" s="99"/>
      <c r="H13" s="99"/>
      <c r="I13" s="99"/>
      <c r="J13" s="3"/>
      <c r="K13" s="99"/>
      <c r="L13" s="99"/>
      <c r="M13" s="99"/>
      <c r="N13" s="99"/>
      <c r="O13" s="99"/>
      <c r="P13" s="99"/>
      <c r="Q13" s="3"/>
      <c r="R13" s="153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</row>
    <row r="14" spans="1:29" ht="46.15" customHeight="1">
      <c r="A14" s="3"/>
      <c r="B14" s="3"/>
      <c r="C14" s="102" t="s">
        <v>289</v>
      </c>
      <c r="D14" s="96" t="str">
        <f t="shared" ref="D14:I14" si="4">IF(OR(D12="",D13=""),"",D13*D12/1000)</f>
        <v/>
      </c>
      <c r="E14" s="96" t="str">
        <f t="shared" si="4"/>
        <v/>
      </c>
      <c r="F14" s="96" t="str">
        <f t="shared" si="4"/>
        <v/>
      </c>
      <c r="G14" s="96" t="str">
        <f t="shared" si="4"/>
        <v/>
      </c>
      <c r="H14" s="96" t="str">
        <f t="shared" si="4"/>
        <v/>
      </c>
      <c r="I14" s="96" t="str">
        <f t="shared" si="4"/>
        <v/>
      </c>
      <c r="J14" s="3"/>
      <c r="K14" s="96" t="str">
        <f t="shared" ref="K14:P14" si="5">IF(OR(K12="",K13=""),"",K13*K12/1000)</f>
        <v/>
      </c>
      <c r="L14" s="96" t="str">
        <f t="shared" si="5"/>
        <v/>
      </c>
      <c r="M14" s="96" t="str">
        <f t="shared" si="5"/>
        <v/>
      </c>
      <c r="N14" s="96" t="str">
        <f t="shared" si="5"/>
        <v/>
      </c>
      <c r="O14" s="96" t="str">
        <f t="shared" si="5"/>
        <v/>
      </c>
      <c r="P14" s="96" t="str">
        <f t="shared" si="5"/>
        <v/>
      </c>
      <c r="Q14" s="3"/>
      <c r="R14" s="153" t="s">
        <v>420</v>
      </c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</row>
    <row r="15" spans="1:29" ht="53.65" customHeight="1">
      <c r="A15" s="3"/>
      <c r="B15" s="3"/>
      <c r="C15" s="102" t="s">
        <v>290</v>
      </c>
      <c r="D15" s="100" t="str">
        <f t="shared" ref="D15:I15" si="6">IF(OR(D12="",D12=0,D9=0),"",D9*1000/D12)</f>
        <v/>
      </c>
      <c r="E15" s="100" t="str">
        <f t="shared" si="6"/>
        <v/>
      </c>
      <c r="F15" s="100" t="str">
        <f t="shared" si="6"/>
        <v/>
      </c>
      <c r="G15" s="100" t="str">
        <f t="shared" si="6"/>
        <v/>
      </c>
      <c r="H15" s="100" t="str">
        <f t="shared" si="6"/>
        <v/>
      </c>
      <c r="I15" s="100" t="str">
        <f t="shared" si="6"/>
        <v/>
      </c>
      <c r="J15" s="3"/>
      <c r="K15" s="100" t="str">
        <f t="shared" ref="K15:P15" si="7">IF(OR(K12="",K12=0,K9=0),"",K9*1000/K12)</f>
        <v/>
      </c>
      <c r="L15" s="100" t="str">
        <f t="shared" si="7"/>
        <v/>
      </c>
      <c r="M15" s="100" t="str">
        <f t="shared" si="7"/>
        <v/>
      </c>
      <c r="N15" s="100" t="str">
        <f t="shared" si="7"/>
        <v/>
      </c>
      <c r="O15" s="100" t="str">
        <f t="shared" si="7"/>
        <v/>
      </c>
      <c r="P15" s="100" t="str">
        <f t="shared" si="7"/>
        <v/>
      </c>
      <c r="Q15" s="3"/>
      <c r="R15" s="181" t="s">
        <v>291</v>
      </c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13"/>
    </row>
    <row r="16" spans="1:29" ht="16.5">
      <c r="A16" s="3"/>
      <c r="B16" s="3"/>
      <c r="C16" s="103" t="s">
        <v>412</v>
      </c>
      <c r="D16" s="104" t="str">
        <f t="shared" ref="D16:I16" si="8">IF(OR(D15="",D13=""),"",D13/D15)</f>
        <v/>
      </c>
      <c r="E16" s="104" t="str">
        <f t="shared" si="8"/>
        <v/>
      </c>
      <c r="F16" s="104" t="str">
        <f t="shared" si="8"/>
        <v/>
      </c>
      <c r="G16" s="104" t="str">
        <f t="shared" si="8"/>
        <v/>
      </c>
      <c r="H16" s="104" t="str">
        <f t="shared" si="8"/>
        <v/>
      </c>
      <c r="I16" s="104" t="str">
        <f t="shared" si="8"/>
        <v/>
      </c>
      <c r="J16" s="3"/>
      <c r="K16" s="104" t="str">
        <f t="shared" ref="K16:P16" si="9">IF(OR(K15="",K13=""),"",K13/K15)</f>
        <v/>
      </c>
      <c r="L16" s="104" t="str">
        <f t="shared" si="9"/>
        <v/>
      </c>
      <c r="M16" s="104" t="str">
        <f t="shared" si="9"/>
        <v/>
      </c>
      <c r="N16" s="104" t="str">
        <f t="shared" si="9"/>
        <v/>
      </c>
      <c r="O16" s="104" t="str">
        <f t="shared" si="9"/>
        <v/>
      </c>
      <c r="P16" s="104" t="str">
        <f t="shared" si="9"/>
        <v/>
      </c>
      <c r="Q16" s="3"/>
      <c r="R16" s="112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</row>
    <row r="17" spans="1:29" ht="47.65" customHeight="1">
      <c r="A17" s="3"/>
      <c r="B17" s="3"/>
      <c r="C17" s="102" t="s">
        <v>292</v>
      </c>
      <c r="D17" s="105"/>
      <c r="E17" s="106" t="str">
        <f>IF(OR('3-1_손익계산서'!E17="",E9=0,D9=0),"",'3-1_손익계산서'!E17/((E9+D9)/2))</f>
        <v/>
      </c>
      <c r="F17" s="106" t="str">
        <f>IF(OR('3-1_손익계산서'!F17="",F9=0,E9=0),"",'3-1_손익계산서'!F17/((F9+E9)/2))</f>
        <v/>
      </c>
      <c r="G17" s="106" t="str">
        <f>IF(OR('3-1_손익계산서'!G17="",G9=0,F9=0),"",'3-1_손익계산서'!G17/((G9+F9)/2))</f>
        <v/>
      </c>
      <c r="H17" s="106" t="str">
        <f>IF(OR('3-1_손익계산서'!H17="",H9=0,G9=0),"",'3-1_손익계산서'!H17/((H9+G9)/2))</f>
        <v/>
      </c>
      <c r="I17" s="106" t="str">
        <f>IF(OR('3-1_손익계산서'!I17="",I9=0,H9=0),"",'3-1_손익계산서'!I17/((I9+H9)/2))</f>
        <v/>
      </c>
      <c r="J17" s="3"/>
      <c r="K17" s="105"/>
      <c r="L17" s="106" t="str">
        <f>IF(OR('3-1_손익계산서'!L17="",L9=0,K9=0),"",'3-1_손익계산서'!L17/((L9+K9)/2))</f>
        <v/>
      </c>
      <c r="M17" s="106" t="str">
        <f>IF(OR('3-1_손익계산서'!M17="",M9=0,L9=0),"",'3-1_손익계산서'!M17/((M9+L9)/2))</f>
        <v/>
      </c>
      <c r="N17" s="106" t="str">
        <f>IF(OR('3-1_손익계산서'!N17="",N9=0,M9=0),"",'3-1_손익계산서'!N17/((N9+M9)/2))</f>
        <v/>
      </c>
      <c r="O17" s="106" t="str">
        <f>IF(OR('3-1_손익계산서'!O17="",O9=0,N9=0),"",'3-1_손익계산서'!O17/((O9+N9)/2))</f>
        <v/>
      </c>
      <c r="P17" s="106" t="str">
        <f>IF(OR('3-1_손익계산서'!P17="",P9=0,O9=0),"",'3-1_손익계산서'!P17/((P9+O9)/2))</f>
        <v/>
      </c>
      <c r="Q17" s="3"/>
      <c r="R17" s="182" t="s">
        <v>413</v>
      </c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13"/>
    </row>
    <row r="18" spans="1:29" ht="16.5">
      <c r="A18" s="3"/>
      <c r="B18" s="3"/>
      <c r="C18" s="107" t="s">
        <v>293</v>
      </c>
      <c r="D18" s="108" t="str">
        <f t="shared" ref="D18:I18" si="10">IF(D7=0,"01시트 미입력","OK")</f>
        <v>01시트 미입력</v>
      </c>
      <c r="E18" s="108" t="str">
        <f t="shared" si="10"/>
        <v>01시트 미입력</v>
      </c>
      <c r="F18" s="108" t="str">
        <f t="shared" si="10"/>
        <v>01시트 미입력</v>
      </c>
      <c r="G18" s="108" t="str">
        <f t="shared" si="10"/>
        <v>01시트 미입력</v>
      </c>
      <c r="H18" s="108" t="str">
        <f t="shared" si="10"/>
        <v>01시트 미입력</v>
      </c>
      <c r="I18" s="108" t="str">
        <f t="shared" si="10"/>
        <v>01시트 미입력</v>
      </c>
      <c r="J18" s="3"/>
      <c r="K18" s="108" t="str">
        <f t="shared" ref="K18:P18" si="11">IF(K7=0,"01시트 미입력","OK")</f>
        <v>01시트 미입력</v>
      </c>
      <c r="L18" s="108" t="str">
        <f t="shared" si="11"/>
        <v>01시트 미입력</v>
      </c>
      <c r="M18" s="108" t="str">
        <f t="shared" si="11"/>
        <v>01시트 미입력</v>
      </c>
      <c r="N18" s="108" t="str">
        <f t="shared" si="11"/>
        <v>01시트 미입력</v>
      </c>
      <c r="O18" s="108" t="str">
        <f t="shared" si="11"/>
        <v>01시트 미입력</v>
      </c>
      <c r="P18" s="108" t="str">
        <f t="shared" si="11"/>
        <v>01시트 미입력</v>
      </c>
      <c r="Q18" s="3"/>
      <c r="R18" s="112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</row>
    <row r="19" spans="1:29" ht="16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9" ht="16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29" ht="16.5">
      <c r="A21" s="3"/>
      <c r="B21" s="3"/>
      <c r="C21" s="27" t="s">
        <v>414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9" ht="45">
      <c r="A22" s="3"/>
      <c r="B22" s="3"/>
      <c r="C22" s="55" t="s">
        <v>294</v>
      </c>
      <c r="D22" s="55" t="s">
        <v>295</v>
      </c>
      <c r="E22" s="55" t="s">
        <v>296</v>
      </c>
      <c r="F22" s="55" t="s">
        <v>297</v>
      </c>
      <c r="G22" s="55" t="s">
        <v>298</v>
      </c>
      <c r="H22" s="55" t="s">
        <v>299</v>
      </c>
      <c r="I22" s="55" t="s">
        <v>300</v>
      </c>
      <c r="J22" s="3"/>
      <c r="K22" s="3"/>
      <c r="L22" s="3"/>
      <c r="M22" s="3"/>
      <c r="N22" s="3"/>
      <c r="O22" s="3"/>
      <c r="P22" s="3"/>
      <c r="Q22" s="3"/>
      <c r="R22" s="3"/>
    </row>
    <row r="23" spans="1:29" ht="16.5">
      <c r="A23" s="3"/>
      <c r="B23" s="3"/>
      <c r="C23" s="109" t="s">
        <v>211</v>
      </c>
      <c r="D23" s="110" t="str">
        <f>D16</f>
        <v/>
      </c>
      <c r="E23" s="110" t="str">
        <f>K16</f>
        <v/>
      </c>
      <c r="F23" s="110" t="str">
        <f t="shared" ref="F23:F28" si="12">IF(OR(D23="",E23=""),"",D23-E23)</f>
        <v/>
      </c>
      <c r="G23" s="110" t="str">
        <f>IF(OR(D23="",E23="",E23=0),"",D23/E23)</f>
        <v/>
      </c>
      <c r="H23" s="96" t="str">
        <f>IF(D14="","",D14-D9)</f>
        <v/>
      </c>
      <c r="I23" s="96" t="str">
        <f>IF(K14="","",K14-K9)</f>
        <v/>
      </c>
      <c r="J23" s="3"/>
      <c r="K23" s="164" t="s">
        <v>415</v>
      </c>
      <c r="L23" s="164"/>
      <c r="M23" s="164"/>
      <c r="N23" s="164"/>
      <c r="O23" s="164"/>
      <c r="P23" s="164"/>
      <c r="Q23" s="164"/>
      <c r="R23" s="164"/>
      <c r="S23" s="164"/>
    </row>
    <row r="24" spans="1:29" ht="16.5">
      <c r="A24" s="3"/>
      <c r="B24" s="3"/>
      <c r="C24" s="109" t="s">
        <v>212</v>
      </c>
      <c r="D24" s="110" t="str">
        <f>E16</f>
        <v/>
      </c>
      <c r="E24" s="110" t="str">
        <f>L16</f>
        <v/>
      </c>
      <c r="F24" s="110" t="str">
        <f t="shared" si="12"/>
        <v/>
      </c>
      <c r="G24" s="110" t="str">
        <f t="shared" ref="G24:G28" si="13">IF(OR(D24="",E24="",E24=0),"",D24/E24)</f>
        <v/>
      </c>
      <c r="H24" s="96" t="str">
        <f>IF(E14="","",E14-E9)</f>
        <v/>
      </c>
      <c r="I24" s="96" t="str">
        <f>IF(L14="","",L14-L9)</f>
        <v/>
      </c>
      <c r="J24" s="3"/>
      <c r="K24" s="165" t="s">
        <v>301</v>
      </c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</row>
    <row r="25" spans="1:29" ht="16.5">
      <c r="A25" s="3"/>
      <c r="B25" s="3"/>
      <c r="C25" s="109" t="s">
        <v>213</v>
      </c>
      <c r="D25" s="110" t="str">
        <f>F16</f>
        <v/>
      </c>
      <c r="E25" s="110" t="str">
        <f>M16</f>
        <v/>
      </c>
      <c r="F25" s="110" t="str">
        <f t="shared" si="12"/>
        <v/>
      </c>
      <c r="G25" s="110" t="str">
        <f t="shared" si="13"/>
        <v/>
      </c>
      <c r="H25" s="96" t="str">
        <f>IF(F14="","",F14-F9)</f>
        <v/>
      </c>
      <c r="I25" s="96" t="str">
        <f>IF(M14="","",M14-M9)</f>
        <v/>
      </c>
      <c r="J25" s="3"/>
      <c r="K25" s="164" t="s">
        <v>416</v>
      </c>
      <c r="L25" s="164"/>
      <c r="M25" s="164"/>
      <c r="N25" s="164"/>
      <c r="O25" s="164"/>
      <c r="P25" s="164"/>
      <c r="Q25" s="164"/>
      <c r="R25" s="164"/>
      <c r="S25" s="164"/>
      <c r="T25" s="164"/>
      <c r="U25" s="164"/>
    </row>
    <row r="26" spans="1:29" ht="16.5">
      <c r="A26" s="3"/>
      <c r="B26" s="3"/>
      <c r="C26" s="109" t="s">
        <v>214</v>
      </c>
      <c r="D26" s="110" t="str">
        <f>G16</f>
        <v/>
      </c>
      <c r="E26" s="110" t="str">
        <f>N16</f>
        <v/>
      </c>
      <c r="F26" s="110" t="str">
        <f t="shared" si="12"/>
        <v/>
      </c>
      <c r="G26" s="110" t="str">
        <f t="shared" si="13"/>
        <v/>
      </c>
      <c r="H26" s="96" t="str">
        <f>IF(G14="","",G14-G9)</f>
        <v/>
      </c>
      <c r="I26" s="96" t="str">
        <f>IF(N14="","",N14-N9)</f>
        <v/>
      </c>
      <c r="J26" s="3"/>
      <c r="K26" s="3"/>
      <c r="L26" s="3"/>
      <c r="M26" s="3"/>
      <c r="N26" s="3"/>
      <c r="O26" s="3"/>
      <c r="P26" s="3"/>
      <c r="Q26" s="3"/>
      <c r="R26" s="3"/>
    </row>
    <row r="27" spans="1:29" ht="16.5">
      <c r="A27" s="3"/>
      <c r="B27" s="3"/>
      <c r="C27" s="109" t="s">
        <v>215</v>
      </c>
      <c r="D27" s="110" t="str">
        <f>H16</f>
        <v/>
      </c>
      <c r="E27" s="110" t="str">
        <f>O16</f>
        <v/>
      </c>
      <c r="F27" s="110" t="str">
        <f t="shared" si="12"/>
        <v/>
      </c>
      <c r="G27" s="110" t="str">
        <f t="shared" si="13"/>
        <v/>
      </c>
      <c r="H27" s="96" t="str">
        <f>IF(H14="","",H14-H9)</f>
        <v/>
      </c>
      <c r="I27" s="96" t="str">
        <f>IF(O14="","",O14-O9)</f>
        <v/>
      </c>
      <c r="J27" s="3"/>
      <c r="K27" s="165" t="s">
        <v>302</v>
      </c>
      <c r="L27" s="165"/>
      <c r="M27" s="165"/>
      <c r="N27" s="165"/>
      <c r="O27" s="165"/>
      <c r="P27" s="165"/>
      <c r="Q27" s="165"/>
      <c r="R27" s="165"/>
    </row>
    <row r="28" spans="1:29" ht="16.5">
      <c r="A28" s="3"/>
      <c r="B28" s="3"/>
      <c r="C28" s="109" t="s">
        <v>216</v>
      </c>
      <c r="D28" s="110" t="str">
        <f>I16</f>
        <v/>
      </c>
      <c r="E28" s="110" t="str">
        <f>P16</f>
        <v/>
      </c>
      <c r="F28" s="110" t="str">
        <f t="shared" si="12"/>
        <v/>
      </c>
      <c r="G28" s="110" t="str">
        <f t="shared" si="13"/>
        <v/>
      </c>
      <c r="H28" s="96" t="str">
        <f>IF(I14="","",I14-I9)</f>
        <v/>
      </c>
      <c r="I28" s="96" t="str">
        <f>IF(P14="","",P14-P9)</f>
        <v/>
      </c>
      <c r="J28" s="3"/>
      <c r="K28" s="3"/>
      <c r="L28" s="3"/>
      <c r="M28" s="3"/>
      <c r="N28" s="3"/>
      <c r="O28" s="3"/>
      <c r="P28" s="3"/>
      <c r="Q28" s="3"/>
      <c r="R28" s="3"/>
    </row>
    <row r="29" spans="1:29" ht="16.5">
      <c r="A29" s="3"/>
      <c r="B29" s="3"/>
      <c r="C29" s="103" t="s">
        <v>417</v>
      </c>
      <c r="D29" s="104" t="str">
        <f t="shared" ref="D29:I29" si="14">IFERROR(AVERAGE(D23:D28),"")</f>
        <v/>
      </c>
      <c r="E29" s="104" t="str">
        <f t="shared" si="14"/>
        <v/>
      </c>
      <c r="F29" s="104" t="str">
        <f t="shared" si="14"/>
        <v/>
      </c>
      <c r="G29" s="104" t="str">
        <f t="shared" si="14"/>
        <v/>
      </c>
      <c r="H29" s="98" t="str">
        <f t="shared" si="14"/>
        <v/>
      </c>
      <c r="I29" s="98" t="str">
        <f t="shared" si="14"/>
        <v/>
      </c>
      <c r="J29" s="3"/>
      <c r="K29" s="3"/>
      <c r="L29" s="3"/>
      <c r="M29" s="3"/>
      <c r="N29" s="3"/>
      <c r="O29" s="3"/>
      <c r="P29" s="3"/>
      <c r="Q29" s="3"/>
      <c r="R29" s="3"/>
    </row>
    <row r="30" spans="1:29" ht="16.5">
      <c r="A30" s="3"/>
      <c r="B30" s="3"/>
      <c r="C30" s="111" t="s">
        <v>303</v>
      </c>
      <c r="D30" s="104">
        <f t="shared" ref="D30:I30" si="15">IFERROR(MAX(D23:D28),"")</f>
        <v>0</v>
      </c>
      <c r="E30" s="104">
        <f t="shared" si="15"/>
        <v>0</v>
      </c>
      <c r="F30" s="104">
        <f t="shared" si="15"/>
        <v>0</v>
      </c>
      <c r="G30" s="104">
        <f t="shared" si="15"/>
        <v>0</v>
      </c>
      <c r="H30" s="98">
        <f t="shared" si="15"/>
        <v>0</v>
      </c>
      <c r="I30" s="98">
        <f t="shared" si="15"/>
        <v>0</v>
      </c>
      <c r="J30" s="3"/>
      <c r="K30" s="3"/>
      <c r="L30" s="3"/>
      <c r="M30" s="3"/>
      <c r="N30" s="3"/>
      <c r="O30" s="3"/>
      <c r="P30" s="3"/>
      <c r="Q30" s="3"/>
      <c r="R30" s="3"/>
    </row>
    <row r="31" spans="1:29" ht="16.5">
      <c r="A31" s="3"/>
      <c r="B31" s="3"/>
      <c r="C31" s="111" t="s">
        <v>304</v>
      </c>
      <c r="D31" s="104">
        <f t="shared" ref="D31:I31" si="16">IFERROR(MIN(D23:D28),"")</f>
        <v>0</v>
      </c>
      <c r="E31" s="104">
        <f t="shared" si="16"/>
        <v>0</v>
      </c>
      <c r="F31" s="104">
        <f t="shared" si="16"/>
        <v>0</v>
      </c>
      <c r="G31" s="104">
        <f t="shared" si="16"/>
        <v>0</v>
      </c>
      <c r="H31" s="98">
        <f t="shared" si="16"/>
        <v>0</v>
      </c>
      <c r="I31" s="98">
        <f t="shared" si="16"/>
        <v>0</v>
      </c>
      <c r="J31" s="3"/>
      <c r="K31" s="3"/>
      <c r="L31" s="3"/>
      <c r="M31" s="3"/>
      <c r="N31" s="3"/>
      <c r="O31" s="3"/>
      <c r="P31" s="3"/>
      <c r="Q31" s="3"/>
      <c r="R31" s="3"/>
    </row>
    <row r="32" spans="1:29" ht="16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16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6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6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6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6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6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16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16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16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16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16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16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16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16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6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16.5">
      <c r="A48" s="3"/>
      <c r="B48" s="3"/>
      <c r="C48" s="119" t="s">
        <v>305</v>
      </c>
      <c r="D48" s="119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16.5">
      <c r="A49" s="3"/>
      <c r="B49" s="114"/>
      <c r="C49" s="166" t="s">
        <v>421</v>
      </c>
      <c r="D49" s="172"/>
      <c r="E49" s="172"/>
      <c r="F49" s="172"/>
      <c r="G49" s="172"/>
      <c r="H49" s="172"/>
      <c r="I49" s="173"/>
      <c r="J49" s="3"/>
      <c r="K49" s="3"/>
      <c r="L49" s="3"/>
      <c r="M49" s="3"/>
      <c r="N49" s="3"/>
      <c r="O49" s="3"/>
      <c r="P49" s="3"/>
      <c r="Q49" s="3"/>
      <c r="R49" s="3"/>
    </row>
    <row r="50" spans="1:18" ht="16.5">
      <c r="A50" s="3"/>
      <c r="B50" s="114"/>
      <c r="C50" s="167"/>
      <c r="D50" s="172"/>
      <c r="E50" s="172"/>
      <c r="F50" s="172"/>
      <c r="G50" s="172"/>
      <c r="H50" s="172"/>
      <c r="I50" s="173"/>
      <c r="J50" s="3"/>
      <c r="K50" s="3"/>
      <c r="L50" s="3"/>
      <c r="M50" s="3"/>
      <c r="N50" s="3"/>
      <c r="O50" s="3"/>
      <c r="P50" s="3"/>
      <c r="Q50" s="3"/>
      <c r="R50" s="3"/>
    </row>
    <row r="51" spans="1:18" ht="33.4" customHeight="1">
      <c r="A51" s="3"/>
      <c r="B51" s="114"/>
      <c r="C51" s="168"/>
      <c r="D51" s="172"/>
      <c r="E51" s="172"/>
      <c r="F51" s="172"/>
      <c r="G51" s="172"/>
      <c r="H51" s="172"/>
      <c r="I51" s="173"/>
      <c r="J51" s="3"/>
      <c r="K51" s="3"/>
      <c r="L51" s="3"/>
      <c r="M51" s="3"/>
      <c r="N51" s="3"/>
      <c r="O51" s="3"/>
      <c r="P51" s="3"/>
      <c r="Q51" s="3"/>
      <c r="R51" s="3"/>
    </row>
    <row r="52" spans="1:18" ht="16.5">
      <c r="A52" s="3"/>
      <c r="B52" s="114"/>
      <c r="C52" s="166" t="s">
        <v>422</v>
      </c>
      <c r="D52" s="172"/>
      <c r="E52" s="172"/>
      <c r="F52" s="172"/>
      <c r="G52" s="172"/>
      <c r="H52" s="172"/>
      <c r="I52" s="173"/>
      <c r="J52" s="3"/>
      <c r="K52" s="3"/>
      <c r="L52" s="3"/>
      <c r="M52" s="3"/>
      <c r="N52" s="3"/>
      <c r="O52" s="3"/>
      <c r="P52" s="3"/>
      <c r="Q52" s="3"/>
      <c r="R52" s="3"/>
    </row>
    <row r="53" spans="1:18" ht="16.5">
      <c r="A53" s="3"/>
      <c r="B53" s="114"/>
      <c r="C53" s="167"/>
      <c r="D53" s="172"/>
      <c r="E53" s="172"/>
      <c r="F53" s="172"/>
      <c r="G53" s="172"/>
      <c r="H53" s="172"/>
      <c r="I53" s="173"/>
      <c r="J53" s="3"/>
      <c r="K53" s="3"/>
      <c r="L53" s="3"/>
      <c r="M53" s="3"/>
      <c r="N53" s="3"/>
      <c r="O53" s="3"/>
      <c r="P53" s="3"/>
      <c r="Q53" s="3"/>
      <c r="R53" s="3"/>
    </row>
    <row r="54" spans="1:18" ht="16.5">
      <c r="A54" s="3"/>
      <c r="B54" s="114"/>
      <c r="C54" s="168"/>
      <c r="D54" s="172"/>
      <c r="E54" s="172"/>
      <c r="F54" s="172"/>
      <c r="G54" s="172"/>
      <c r="H54" s="172"/>
      <c r="I54" s="173"/>
      <c r="J54" s="3"/>
      <c r="K54" s="3"/>
      <c r="L54" s="3"/>
      <c r="M54" s="3"/>
      <c r="N54" s="3"/>
      <c r="O54" s="3"/>
      <c r="P54" s="3"/>
      <c r="Q54" s="3"/>
      <c r="R54" s="3"/>
    </row>
    <row r="55" spans="1:18" ht="16.5">
      <c r="A55" s="3"/>
      <c r="B55" s="114"/>
      <c r="C55" s="169" t="s">
        <v>423</v>
      </c>
      <c r="D55" s="174"/>
      <c r="E55" s="175"/>
      <c r="F55" s="175"/>
      <c r="G55" s="175"/>
      <c r="H55" s="175"/>
      <c r="I55" s="176"/>
      <c r="J55" s="3"/>
      <c r="K55" s="3"/>
      <c r="L55" s="3"/>
      <c r="M55" s="3"/>
      <c r="N55" s="3"/>
      <c r="O55" s="3"/>
      <c r="P55" s="3"/>
      <c r="Q55" s="3"/>
      <c r="R55" s="3"/>
    </row>
    <row r="56" spans="1:18" ht="16.5">
      <c r="A56" s="3"/>
      <c r="B56" s="114"/>
      <c r="C56" s="170"/>
      <c r="D56" s="177"/>
      <c r="E56" s="172"/>
      <c r="F56" s="172"/>
      <c r="G56" s="172"/>
      <c r="H56" s="172"/>
      <c r="I56" s="173"/>
      <c r="J56" s="3"/>
      <c r="K56" s="3"/>
      <c r="L56" s="3"/>
      <c r="M56" s="3"/>
      <c r="N56" s="3"/>
      <c r="O56" s="3"/>
      <c r="P56" s="3"/>
      <c r="Q56" s="3"/>
      <c r="R56" s="3"/>
    </row>
    <row r="57" spans="1:18" ht="16.5">
      <c r="A57" s="3"/>
      <c r="B57" s="114"/>
      <c r="C57" s="171"/>
      <c r="D57" s="178"/>
      <c r="E57" s="179"/>
      <c r="F57" s="179"/>
      <c r="G57" s="179"/>
      <c r="H57" s="179"/>
      <c r="I57" s="180"/>
      <c r="J57" s="3"/>
      <c r="K57" s="3"/>
      <c r="L57" s="3"/>
      <c r="M57" s="3"/>
      <c r="N57" s="3"/>
      <c r="O57" s="3"/>
      <c r="P57" s="3"/>
      <c r="Q57" s="3"/>
      <c r="R57" s="3"/>
    </row>
    <row r="58" spans="1:18" ht="16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63" customHeight="1">
      <c r="A59" s="3"/>
      <c r="B59" s="3"/>
      <c r="C59" s="25" t="s">
        <v>306</v>
      </c>
      <c r="D59" s="121"/>
      <c r="E59" s="121"/>
      <c r="F59" s="121"/>
      <c r="G59" s="121"/>
      <c r="H59" s="121"/>
      <c r="I59" s="162"/>
      <c r="J59" s="3"/>
      <c r="K59" s="163"/>
      <c r="L59" s="163"/>
      <c r="M59" s="163"/>
      <c r="N59" s="163"/>
      <c r="O59" s="163"/>
      <c r="P59" s="163"/>
      <c r="Q59" s="3"/>
      <c r="R59" s="3"/>
    </row>
  </sheetData>
  <mergeCells count="24">
    <mergeCell ref="B1:E1"/>
    <mergeCell ref="B2:J2"/>
    <mergeCell ref="D5:I5"/>
    <mergeCell ref="K5:P5"/>
    <mergeCell ref="R7:AC7"/>
    <mergeCell ref="R6:AC6"/>
    <mergeCell ref="R10:AC10"/>
    <mergeCell ref="R13:AC13"/>
    <mergeCell ref="R14:AC14"/>
    <mergeCell ref="R15:AB15"/>
    <mergeCell ref="R17:AB17"/>
    <mergeCell ref="D59:I59"/>
    <mergeCell ref="K59:P59"/>
    <mergeCell ref="K23:S23"/>
    <mergeCell ref="K24:W24"/>
    <mergeCell ref="K25:U25"/>
    <mergeCell ref="K27:R27"/>
    <mergeCell ref="C48:D48"/>
    <mergeCell ref="C49:C51"/>
    <mergeCell ref="C52:C54"/>
    <mergeCell ref="C55:C57"/>
    <mergeCell ref="D49:I51"/>
    <mergeCell ref="D52:I54"/>
    <mergeCell ref="D55:I57"/>
  </mergeCells>
  <phoneticPr fontId="35" type="noConversion"/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B1:AF38"/>
  <sheetViews>
    <sheetView showGridLines="0" zoomScaleNormal="100" workbookViewId="0">
      <selection activeCell="D20" sqref="D20"/>
    </sheetView>
  </sheetViews>
  <sheetFormatPr defaultColWidth="8.7109375" defaultRowHeight="15"/>
  <cols>
    <col min="2" max="2" width="3" customWidth="1"/>
    <col min="3" max="3" width="30" customWidth="1"/>
    <col min="4" max="9" width="12" customWidth="1"/>
    <col min="10" max="10" width="2" customWidth="1"/>
    <col min="11" max="16" width="12" customWidth="1"/>
    <col min="17" max="17" width="2" customWidth="1"/>
    <col min="18" max="18" width="4" customWidth="1"/>
    <col min="19" max="19" width="30" customWidth="1"/>
    <col min="20" max="25" width="9" customWidth="1"/>
    <col min="26" max="26" width="2" customWidth="1"/>
    <col min="27" max="32" width="9" customWidth="1"/>
  </cols>
  <sheetData>
    <row r="1" spans="2:32" ht="25.5" customHeight="1">
      <c r="B1" s="186" t="s">
        <v>307</v>
      </c>
      <c r="C1" s="186"/>
      <c r="D1" s="186"/>
      <c r="E1" s="186"/>
      <c r="F1" s="186"/>
      <c r="G1" s="186"/>
    </row>
    <row r="2" spans="2:32" ht="27.75" customHeight="1">
      <c r="B2" s="187" t="s">
        <v>429</v>
      </c>
      <c r="C2" s="128"/>
      <c r="D2" s="128"/>
      <c r="E2" s="128"/>
      <c r="F2" s="128"/>
      <c r="G2" s="128"/>
      <c r="H2" s="128"/>
      <c r="I2" s="128"/>
    </row>
    <row r="4" spans="2:32" ht="17.25" customHeight="1">
      <c r="D4" s="188" t="s">
        <v>431</v>
      </c>
      <c r="E4" s="184"/>
      <c r="F4" s="184"/>
      <c r="G4" s="184"/>
      <c r="H4" s="184"/>
      <c r="I4" s="184"/>
      <c r="K4" s="188" t="s">
        <v>432</v>
      </c>
      <c r="L4" s="184"/>
      <c r="M4" s="184"/>
      <c r="N4" s="184"/>
      <c r="O4" s="184"/>
      <c r="P4" s="184"/>
      <c r="S4" s="4" t="s">
        <v>308</v>
      </c>
      <c r="T4" s="184" t="s">
        <v>28</v>
      </c>
      <c r="U4" s="184"/>
      <c r="V4" s="184"/>
      <c r="W4" s="184"/>
      <c r="X4" s="184"/>
      <c r="Y4" s="184"/>
      <c r="AA4" s="184" t="s">
        <v>29</v>
      </c>
      <c r="AB4" s="184"/>
      <c r="AC4" s="184"/>
      <c r="AD4" s="184"/>
      <c r="AE4" s="184"/>
      <c r="AF4" s="184"/>
    </row>
    <row r="5" spans="2:32" ht="15" customHeight="1">
      <c r="C5" s="4" t="s">
        <v>309</v>
      </c>
      <c r="D5" s="26" t="s">
        <v>211</v>
      </c>
      <c r="E5" s="26" t="s">
        <v>212</v>
      </c>
      <c r="F5" s="26" t="s">
        <v>213</v>
      </c>
      <c r="G5" s="26" t="s">
        <v>214</v>
      </c>
      <c r="H5" s="26" t="s">
        <v>215</v>
      </c>
      <c r="I5" s="26" t="s">
        <v>216</v>
      </c>
      <c r="K5" s="26" t="s">
        <v>211</v>
      </c>
      <c r="L5" s="26" t="s">
        <v>212</v>
      </c>
      <c r="M5" s="26" t="s">
        <v>213</v>
      </c>
      <c r="N5" s="26" t="s">
        <v>214</v>
      </c>
      <c r="O5" s="26" t="s">
        <v>215</v>
      </c>
      <c r="P5" s="26" t="s">
        <v>216</v>
      </c>
      <c r="S5" s="4" t="s">
        <v>27</v>
      </c>
      <c r="T5" s="26" t="s">
        <v>211</v>
      </c>
      <c r="U5" s="26" t="s">
        <v>212</v>
      </c>
      <c r="V5" s="26" t="s">
        <v>213</v>
      </c>
      <c r="W5" s="26" t="s">
        <v>214</v>
      </c>
      <c r="X5" s="26" t="s">
        <v>215</v>
      </c>
      <c r="Y5" s="26" t="s">
        <v>216</v>
      </c>
      <c r="AA5" s="26" t="s">
        <v>211</v>
      </c>
      <c r="AB5" s="26" t="s">
        <v>212</v>
      </c>
      <c r="AC5" s="26" t="s">
        <v>213</v>
      </c>
      <c r="AD5" s="26" t="s">
        <v>214</v>
      </c>
      <c r="AE5" s="26" t="s">
        <v>215</v>
      </c>
      <c r="AF5" s="26" t="s">
        <v>216</v>
      </c>
    </row>
    <row r="6" spans="2:32" ht="15" customHeight="1">
      <c r="C6" s="32" t="s">
        <v>310</v>
      </c>
      <c r="D6" s="34">
        <v>16970859</v>
      </c>
      <c r="E6" s="34">
        <v>18065534</v>
      </c>
      <c r="F6" s="34">
        <v>21239082</v>
      </c>
      <c r="G6" s="34">
        <v>29651357</v>
      </c>
      <c r="H6" s="34">
        <v>32670268</v>
      </c>
      <c r="I6" s="34">
        <v>31062912</v>
      </c>
      <c r="K6" s="34">
        <v>10122930.83745</v>
      </c>
      <c r="L6" s="34">
        <v>9036575.4230000004</v>
      </c>
      <c r="M6" s="34">
        <v>12299196.215</v>
      </c>
      <c r="N6" s="34">
        <v>13436684.90447</v>
      </c>
      <c r="O6" s="34">
        <v>12863811.46838</v>
      </c>
      <c r="P6" s="34">
        <v>12450347</v>
      </c>
      <c r="S6" s="32" t="s">
        <v>310</v>
      </c>
      <c r="T6" s="31">
        <f t="shared" ref="T6:T18" si="0">IF(OR(D$6="",D$6=0),"",D6/D$6)</f>
        <v>1</v>
      </c>
      <c r="U6" s="31">
        <f t="shared" ref="U6:U18" si="1">IF(OR(E$6="",E$6=0),"",E6/E$6)</f>
        <v>1</v>
      </c>
      <c r="V6" s="31">
        <f t="shared" ref="V6:V18" si="2">IF(OR(F$6="",F$6=0),"",F6/F$6)</f>
        <v>1</v>
      </c>
      <c r="W6" s="31">
        <f t="shared" ref="W6:W18" si="3">IF(OR(G$6="",G$6=0),"",G6/G$6)</f>
        <v>1</v>
      </c>
      <c r="X6" s="31">
        <f t="shared" ref="X6:X18" si="4">IF(OR(H$6="",H$6=0),"",H6/H$6)</f>
        <v>1</v>
      </c>
      <c r="Y6" s="31">
        <f t="shared" ref="Y6:Y18" si="5">IF(OR(I$6="",I$6=0),"",I6/I$6)</f>
        <v>1</v>
      </c>
      <c r="AA6" s="31">
        <f t="shared" ref="AA6:AA18" si="6">IF(OR(K$6="",K$6=0),"",K6/K$6)</f>
        <v>1</v>
      </c>
      <c r="AB6" s="31">
        <f t="shared" ref="AB6:AB18" si="7">IF(OR(L$6="",L$6=0),"",L6/L$6)</f>
        <v>1</v>
      </c>
      <c r="AC6" s="31">
        <f t="shared" ref="AC6:AC18" si="8">IF(OR(M$6="",M$6=0),"",M6/M$6)</f>
        <v>1</v>
      </c>
      <c r="AD6" s="31">
        <f t="shared" ref="AD6:AD18" si="9">IF(OR(N$6="",N$6=0),"",N6/N$6)</f>
        <v>1</v>
      </c>
      <c r="AE6" s="31">
        <f t="shared" ref="AE6:AE18" si="10">IF(OR(O$6="",O$6=0),"",O6/O$6)</f>
        <v>1</v>
      </c>
      <c r="AF6" s="31">
        <f t="shared" ref="AF6:AF18" si="11">IF(OR(P$6="",P$6=0),"",P6/P$6)</f>
        <v>1</v>
      </c>
    </row>
    <row r="7" spans="2:32" ht="15" customHeight="1">
      <c r="C7" s="32" t="s">
        <v>311</v>
      </c>
      <c r="D7" s="34">
        <v>15573996</v>
      </c>
      <c r="E7" s="34">
        <v>16268298</v>
      </c>
      <c r="F7" s="34">
        <v>19726334</v>
      </c>
      <c r="G7" s="34">
        <v>27948549</v>
      </c>
      <c r="H7" s="34">
        <v>32887201</v>
      </c>
      <c r="I7" s="34">
        <v>29082629</v>
      </c>
      <c r="K7" s="34">
        <v>8587843.2354400009</v>
      </c>
      <c r="L7" s="34">
        <v>7685818.7819999997</v>
      </c>
      <c r="M7" s="34">
        <v>11012589.646</v>
      </c>
      <c r="N7" s="34">
        <v>13174490.950440001</v>
      </c>
      <c r="O7" s="34">
        <v>11749631.629520001</v>
      </c>
      <c r="P7" s="34">
        <v>11105283</v>
      </c>
      <c r="S7" s="32" t="s">
        <v>311</v>
      </c>
      <c r="T7" s="31">
        <f t="shared" si="0"/>
        <v>0.91769049521889257</v>
      </c>
      <c r="U7" s="31">
        <f t="shared" si="1"/>
        <v>0.90051575558187213</v>
      </c>
      <c r="V7" s="31">
        <f t="shared" si="2"/>
        <v>0.92877526439231228</v>
      </c>
      <c r="W7" s="31">
        <f t="shared" si="3"/>
        <v>0.94257234163009807</v>
      </c>
      <c r="X7" s="31">
        <f t="shared" si="4"/>
        <v>1.0066400740881587</v>
      </c>
      <c r="Y7" s="31">
        <f t="shared" si="5"/>
        <v>0.93624928017051334</v>
      </c>
      <c r="AA7" s="31">
        <f t="shared" si="6"/>
        <v>0.8483554193286682</v>
      </c>
      <c r="AB7" s="31">
        <f t="shared" si="7"/>
        <v>0.85052339212905381</v>
      </c>
      <c r="AC7" s="31">
        <f t="shared" si="8"/>
        <v>0.89539100389089943</v>
      </c>
      <c r="AD7" s="31">
        <f t="shared" si="9"/>
        <v>0.98048670815055172</v>
      </c>
      <c r="AE7" s="31">
        <f t="shared" si="10"/>
        <v>0.91338649189637777</v>
      </c>
      <c r="AF7" s="31">
        <f t="shared" si="11"/>
        <v>0.89196574199899814</v>
      </c>
    </row>
    <row r="8" spans="2:32" ht="15" customHeight="1">
      <c r="C8" s="29" t="s">
        <v>312</v>
      </c>
      <c r="D8" s="35">
        <f t="shared" ref="D8:I8" si="12">D6-D7</f>
        <v>1396863</v>
      </c>
      <c r="E8" s="35">
        <f t="shared" si="12"/>
        <v>1797236</v>
      </c>
      <c r="F8" s="35">
        <f t="shared" si="12"/>
        <v>1512748</v>
      </c>
      <c r="G8" s="35">
        <f t="shared" si="12"/>
        <v>1702808</v>
      </c>
      <c r="H8" s="35">
        <f t="shared" si="12"/>
        <v>-216933</v>
      </c>
      <c r="I8" s="35">
        <f t="shared" si="12"/>
        <v>1980283</v>
      </c>
      <c r="K8" s="35">
        <f t="shared" ref="K8:P8" si="13">K6-K7</f>
        <v>1535087.6020099986</v>
      </c>
      <c r="L8" s="35">
        <f t="shared" si="13"/>
        <v>1350756.6410000008</v>
      </c>
      <c r="M8" s="35">
        <f t="shared" si="13"/>
        <v>1286606.5690000001</v>
      </c>
      <c r="N8" s="35">
        <f t="shared" si="13"/>
        <v>262193.95402999967</v>
      </c>
      <c r="O8" s="35">
        <f t="shared" si="13"/>
        <v>1114179.8388599996</v>
      </c>
      <c r="P8" s="35">
        <f t="shared" si="13"/>
        <v>1345064</v>
      </c>
      <c r="S8" s="29" t="s">
        <v>313</v>
      </c>
      <c r="T8" s="31">
        <f t="shared" si="0"/>
        <v>8.230950478110742E-2</v>
      </c>
      <c r="U8" s="31">
        <f t="shared" si="1"/>
        <v>9.9484244418127907E-2</v>
      </c>
      <c r="V8" s="31">
        <f t="shared" si="2"/>
        <v>7.1224735607687759E-2</v>
      </c>
      <c r="W8" s="31">
        <f t="shared" si="3"/>
        <v>5.7427658369901921E-2</v>
      </c>
      <c r="X8" s="31">
        <f t="shared" si="4"/>
        <v>-6.6400740881586888E-3</v>
      </c>
      <c r="Y8" s="31">
        <f t="shared" si="5"/>
        <v>6.3750719829486685E-2</v>
      </c>
      <c r="AA8" s="31">
        <f t="shared" si="6"/>
        <v>0.15164458067133177</v>
      </c>
      <c r="AB8" s="31">
        <f t="shared" si="7"/>
        <v>0.14947660787094619</v>
      </c>
      <c r="AC8" s="31">
        <f t="shared" si="8"/>
        <v>0.10460899610910063</v>
      </c>
      <c r="AD8" s="31">
        <f t="shared" si="9"/>
        <v>1.9513291849448316E-2</v>
      </c>
      <c r="AE8" s="31">
        <f t="shared" si="10"/>
        <v>8.6613508103622214E-2</v>
      </c>
      <c r="AF8" s="31">
        <f t="shared" si="11"/>
        <v>0.1080342580010019</v>
      </c>
    </row>
    <row r="9" spans="2:32" ht="15" customHeight="1">
      <c r="C9" s="32" t="s">
        <v>314</v>
      </c>
      <c r="D9" s="34">
        <v>847891</v>
      </c>
      <c r="E9" s="34">
        <v>1043732</v>
      </c>
      <c r="F9" s="34">
        <v>937846</v>
      </c>
      <c r="G9" s="34">
        <v>917378</v>
      </c>
      <c r="H9" s="34">
        <v>1046487</v>
      </c>
      <c r="I9" s="34">
        <v>1327277</v>
      </c>
      <c r="K9" s="34">
        <v>784689.75612999999</v>
      </c>
      <c r="L9" s="34">
        <v>704271.10100000002</v>
      </c>
      <c r="M9" s="34">
        <v>731771.73800000001</v>
      </c>
      <c r="N9" s="34">
        <v>650139.35510000004</v>
      </c>
      <c r="O9" s="34">
        <v>828225.50306999998</v>
      </c>
      <c r="P9" s="34">
        <v>907255</v>
      </c>
      <c r="S9" s="32" t="s">
        <v>314</v>
      </c>
      <c r="T9" s="31">
        <f t="shared" si="0"/>
        <v>4.9961584148451178E-2</v>
      </c>
      <c r="U9" s="31">
        <f t="shared" si="1"/>
        <v>5.7774766026844268E-2</v>
      </c>
      <c r="V9" s="31">
        <f t="shared" si="2"/>
        <v>4.4156616561864585E-2</v>
      </c>
      <c r="W9" s="31">
        <f t="shared" si="3"/>
        <v>3.0938820101892806E-2</v>
      </c>
      <c r="X9" s="31">
        <f t="shared" si="4"/>
        <v>3.203178498566342E-2</v>
      </c>
      <c r="Y9" s="31">
        <f t="shared" si="5"/>
        <v>4.272867270138743E-2</v>
      </c>
      <c r="AA9" s="31">
        <f t="shared" si="6"/>
        <v>7.7516064144884156E-2</v>
      </c>
      <c r="AB9" s="31">
        <f t="shared" si="7"/>
        <v>7.7935619195683439E-2</v>
      </c>
      <c r="AC9" s="31">
        <f t="shared" si="8"/>
        <v>5.9497525302306925E-2</v>
      </c>
      <c r="AD9" s="31">
        <f t="shared" si="9"/>
        <v>4.8385398610018553E-2</v>
      </c>
      <c r="AE9" s="31">
        <f t="shared" si="10"/>
        <v>6.4384145018436145E-2</v>
      </c>
      <c r="AF9" s="31">
        <f t="shared" si="11"/>
        <v>7.2869856559017995E-2</v>
      </c>
    </row>
    <row r="10" spans="2:32" ht="15" customHeight="1">
      <c r="C10" s="29" t="s">
        <v>315</v>
      </c>
      <c r="D10" s="35">
        <f t="shared" ref="D10:I10" si="14">D8-D9</f>
        <v>548972</v>
      </c>
      <c r="E10" s="35">
        <f t="shared" si="14"/>
        <v>753504</v>
      </c>
      <c r="F10" s="35">
        <f t="shared" si="14"/>
        <v>574902</v>
      </c>
      <c r="G10" s="35">
        <f t="shared" si="14"/>
        <v>785430</v>
      </c>
      <c r="H10" s="35">
        <f t="shared" si="14"/>
        <v>-1263420</v>
      </c>
      <c r="I10" s="35">
        <f t="shared" si="14"/>
        <v>653006</v>
      </c>
      <c r="K10" s="35">
        <f t="shared" ref="K10:P10" si="15">K8-K9</f>
        <v>750397.84587999864</v>
      </c>
      <c r="L10" s="35">
        <f t="shared" si="15"/>
        <v>646485.54000000074</v>
      </c>
      <c r="M10" s="35">
        <f t="shared" si="15"/>
        <v>554834.83100000012</v>
      </c>
      <c r="N10" s="35">
        <f t="shared" si="15"/>
        <v>-387945.40107000037</v>
      </c>
      <c r="O10" s="35">
        <f t="shared" si="15"/>
        <v>285954.33578999958</v>
      </c>
      <c r="P10" s="35">
        <f t="shared" si="15"/>
        <v>437809</v>
      </c>
      <c r="S10" s="29" t="s">
        <v>316</v>
      </c>
      <c r="T10" s="31">
        <f t="shared" si="0"/>
        <v>3.2347920632656249E-2</v>
      </c>
      <c r="U10" s="31">
        <f t="shared" si="1"/>
        <v>4.1709478391283646E-2</v>
      </c>
      <c r="V10" s="31">
        <f t="shared" si="2"/>
        <v>2.7068119045823166E-2</v>
      </c>
      <c r="W10" s="31">
        <f t="shared" si="3"/>
        <v>2.6488838268009116E-2</v>
      </c>
      <c r="X10" s="31">
        <f t="shared" si="4"/>
        <v>-3.8671859073822104E-2</v>
      </c>
      <c r="Y10" s="31">
        <f t="shared" si="5"/>
        <v>2.1022047128099259E-2</v>
      </c>
      <c r="AA10" s="31">
        <f t="shared" si="6"/>
        <v>7.4128516526447627E-2</v>
      </c>
      <c r="AB10" s="31">
        <f t="shared" si="7"/>
        <v>7.1540988675262748E-2</v>
      </c>
      <c r="AC10" s="31">
        <f t="shared" si="8"/>
        <v>4.5111470806793702E-2</v>
      </c>
      <c r="AD10" s="31">
        <f t="shared" si="9"/>
        <v>-2.887210676057024E-2</v>
      </c>
      <c r="AE10" s="31">
        <f t="shared" si="10"/>
        <v>2.2229363085186069E-2</v>
      </c>
      <c r="AF10" s="31">
        <f t="shared" si="11"/>
        <v>3.5164401441983906E-2</v>
      </c>
    </row>
    <row r="11" spans="2:32" ht="15" customHeight="1">
      <c r="C11" s="32" t="s">
        <v>317</v>
      </c>
      <c r="D11" s="34">
        <v>196214</v>
      </c>
      <c r="E11" s="34">
        <v>224858</v>
      </c>
      <c r="F11" s="34">
        <v>401429</v>
      </c>
      <c r="G11" s="34">
        <v>294585</v>
      </c>
      <c r="H11" s="34">
        <v>359853</v>
      </c>
      <c r="I11" s="34">
        <v>258821</v>
      </c>
      <c r="K11" s="34">
        <v>210319.85972000001</v>
      </c>
      <c r="L11" s="34">
        <v>127723.516</v>
      </c>
      <c r="M11" s="34">
        <v>196448.21</v>
      </c>
      <c r="N11" s="34">
        <v>256125.15225000001</v>
      </c>
      <c r="O11" s="34">
        <v>395844.64756999997</v>
      </c>
      <c r="P11" s="34">
        <v>356698</v>
      </c>
      <c r="S11" s="32" t="s">
        <v>317</v>
      </c>
      <c r="T11" s="31">
        <f t="shared" si="0"/>
        <v>1.1561818998083714E-2</v>
      </c>
      <c r="U11" s="31">
        <f t="shared" si="1"/>
        <v>1.2446795096120601E-2</v>
      </c>
      <c r="V11" s="31">
        <f t="shared" si="2"/>
        <v>1.8900487318613865E-2</v>
      </c>
      <c r="W11" s="31">
        <f t="shared" si="3"/>
        <v>9.9349584573819004E-3</v>
      </c>
      <c r="X11" s="31">
        <f t="shared" si="4"/>
        <v>1.101469384946582E-2</v>
      </c>
      <c r="Y11" s="31">
        <f t="shared" si="5"/>
        <v>8.3321550793434944E-3</v>
      </c>
      <c r="AA11" s="31">
        <f t="shared" si="6"/>
        <v>2.0776577761641636E-2</v>
      </c>
      <c r="AB11" s="31">
        <f t="shared" si="7"/>
        <v>1.4134061856543196E-2</v>
      </c>
      <c r="AC11" s="31">
        <f t="shared" si="8"/>
        <v>1.5972442960167865E-2</v>
      </c>
      <c r="AD11" s="31">
        <f t="shared" si="9"/>
        <v>1.9061632692212237E-2</v>
      </c>
      <c r="AE11" s="31">
        <f t="shared" si="10"/>
        <v>3.0771956549814898E-2</v>
      </c>
      <c r="AF11" s="31">
        <f t="shared" si="11"/>
        <v>2.8649643258938887E-2</v>
      </c>
    </row>
    <row r="12" spans="2:32" ht="15" customHeight="1">
      <c r="C12" s="32" t="s">
        <v>318</v>
      </c>
      <c r="D12" s="34">
        <v>204790</v>
      </c>
      <c r="E12" s="34">
        <v>125910</v>
      </c>
      <c r="F12" s="34">
        <v>176777</v>
      </c>
      <c r="G12" s="34">
        <v>141179</v>
      </c>
      <c r="H12" s="34">
        <v>171771</v>
      </c>
      <c r="I12" s="34">
        <v>202810</v>
      </c>
      <c r="K12" s="34">
        <v>222769.90932000001</v>
      </c>
      <c r="L12" s="34">
        <v>182458.74400000001</v>
      </c>
      <c r="M12" s="34">
        <v>295178.11499999999</v>
      </c>
      <c r="N12" s="34">
        <v>462641.49735000002</v>
      </c>
      <c r="O12" s="34">
        <v>616923.25632000004</v>
      </c>
      <c r="P12" s="34">
        <v>573993</v>
      </c>
      <c r="S12" s="32" t="s">
        <v>318</v>
      </c>
      <c r="T12" s="31">
        <f t="shared" si="0"/>
        <v>1.2067155822813683E-2</v>
      </c>
      <c r="U12" s="31">
        <f t="shared" si="1"/>
        <v>6.9696251436575304E-3</v>
      </c>
      <c r="V12" s="31">
        <f t="shared" si="2"/>
        <v>8.3231940062192897E-3</v>
      </c>
      <c r="W12" s="31">
        <f t="shared" si="3"/>
        <v>4.7612997948120886E-3</v>
      </c>
      <c r="X12" s="31">
        <f t="shared" si="4"/>
        <v>5.2577162819723421E-3</v>
      </c>
      <c r="Y12" s="31">
        <f t="shared" si="5"/>
        <v>6.5290079693751824E-3</v>
      </c>
      <c r="AA12" s="31">
        <f t="shared" si="6"/>
        <v>2.2006463631644893E-2</v>
      </c>
      <c r="AB12" s="31">
        <f t="shared" si="7"/>
        <v>2.0191138286258733E-2</v>
      </c>
      <c r="AC12" s="31">
        <f t="shared" si="8"/>
        <v>2.3999789078899575E-2</v>
      </c>
      <c r="AD12" s="31">
        <f t="shared" si="9"/>
        <v>3.4431223225015302E-2</v>
      </c>
      <c r="AE12" s="31">
        <f t="shared" si="10"/>
        <v>4.7958045547887067E-2</v>
      </c>
      <c r="AF12" s="31">
        <f t="shared" si="11"/>
        <v>4.6102570474541797E-2</v>
      </c>
    </row>
    <row r="13" spans="2:32" ht="44.25" customHeight="1">
      <c r="C13" s="32" t="s">
        <v>319</v>
      </c>
      <c r="D13" s="30">
        <f t="shared" ref="D13:I13" si="16">D14-D10-D11+D12</f>
        <v>-144822</v>
      </c>
      <c r="E13" s="30">
        <f t="shared" si="16"/>
        <v>1649</v>
      </c>
      <c r="F13" s="30">
        <f t="shared" si="16"/>
        <v>-45739</v>
      </c>
      <c r="G13" s="30">
        <f t="shared" si="16"/>
        <v>709</v>
      </c>
      <c r="H13" s="30">
        <f t="shared" si="16"/>
        <v>89621</v>
      </c>
      <c r="I13" s="30">
        <f t="shared" si="16"/>
        <v>-62192</v>
      </c>
      <c r="K13" s="30">
        <f t="shared" ref="K13:P13" si="17">K14-K10-K11+K12</f>
        <v>-219507.92540999866</v>
      </c>
      <c r="L13" s="30">
        <f t="shared" si="17"/>
        <v>66179.478999999235</v>
      </c>
      <c r="M13" s="30">
        <f t="shared" si="17"/>
        <v>208792.6969999999</v>
      </c>
      <c r="N13" s="30">
        <f t="shared" si="17"/>
        <v>76975.216410000401</v>
      </c>
      <c r="O13" s="30">
        <f t="shared" si="17"/>
        <v>376624.41098000051</v>
      </c>
      <c r="P13" s="30">
        <f t="shared" si="17"/>
        <v>-73174</v>
      </c>
      <c r="S13" s="32" t="s">
        <v>320</v>
      </c>
      <c r="T13" s="31">
        <f t="shared" si="0"/>
        <v>-8.5335692200377133E-3</v>
      </c>
      <c r="U13" s="31">
        <f t="shared" si="1"/>
        <v>9.1278785337870448E-5</v>
      </c>
      <c r="V13" s="31">
        <f t="shared" si="2"/>
        <v>-2.1535299877838412E-3</v>
      </c>
      <c r="W13" s="31">
        <f t="shared" si="3"/>
        <v>2.3911215935243707E-5</v>
      </c>
      <c r="X13" s="31">
        <f t="shared" si="4"/>
        <v>2.7431975764631009E-3</v>
      </c>
      <c r="Y13" s="31">
        <f t="shared" si="5"/>
        <v>-2.0021303862303701E-3</v>
      </c>
      <c r="AA13" s="31">
        <f t="shared" si="6"/>
        <v>-2.1684226528341417E-2</v>
      </c>
      <c r="AB13" s="31">
        <f t="shared" si="7"/>
        <v>7.3235131564949292E-3</v>
      </c>
      <c r="AC13" s="31">
        <f t="shared" si="8"/>
        <v>1.6976125378450179E-2</v>
      </c>
      <c r="AD13" s="31">
        <f t="shared" si="9"/>
        <v>5.7287356931614098E-3</v>
      </c>
      <c r="AE13" s="31">
        <f t="shared" si="10"/>
        <v>2.9277824220742453E-2</v>
      </c>
      <c r="AF13" s="31">
        <f t="shared" si="11"/>
        <v>-5.8772659107412832E-3</v>
      </c>
    </row>
    <row r="14" spans="2:32" ht="15" customHeight="1">
      <c r="C14" s="32" t="s">
        <v>321</v>
      </c>
      <c r="D14" s="34">
        <v>395574</v>
      </c>
      <c r="E14" s="34">
        <v>854101</v>
      </c>
      <c r="F14" s="34">
        <v>753815</v>
      </c>
      <c r="G14" s="34">
        <v>939545</v>
      </c>
      <c r="H14" s="34">
        <v>-985717</v>
      </c>
      <c r="I14" s="34">
        <v>646825</v>
      </c>
      <c r="K14" s="34">
        <v>518439.87086999998</v>
      </c>
      <c r="L14" s="34">
        <v>657929.79099999997</v>
      </c>
      <c r="M14" s="34">
        <v>664897.62300000002</v>
      </c>
      <c r="N14" s="34">
        <v>-517486.52976</v>
      </c>
      <c r="O14" s="34">
        <v>441500.13802000001</v>
      </c>
      <c r="P14" s="34">
        <v>147340</v>
      </c>
      <c r="S14" s="32" t="s">
        <v>321</v>
      </c>
      <c r="T14" s="31">
        <f t="shared" si="0"/>
        <v>2.3309014587888567E-2</v>
      </c>
      <c r="U14" s="31">
        <f t="shared" si="1"/>
        <v>4.7277927129084588E-2</v>
      </c>
      <c r="V14" s="31">
        <f t="shared" si="2"/>
        <v>3.5491882370433901E-2</v>
      </c>
      <c r="W14" s="31">
        <f t="shared" si="3"/>
        <v>3.1686408146514168E-2</v>
      </c>
      <c r="X14" s="31">
        <f t="shared" si="4"/>
        <v>-3.017168392986553E-2</v>
      </c>
      <c r="Y14" s="31">
        <f t="shared" si="5"/>
        <v>2.0823063851837201E-2</v>
      </c>
      <c r="AA14" s="31">
        <f t="shared" si="6"/>
        <v>5.1214404128102957E-2</v>
      </c>
      <c r="AB14" s="31">
        <f t="shared" si="7"/>
        <v>7.2807425402042145E-2</v>
      </c>
      <c r="AC14" s="31">
        <f t="shared" si="8"/>
        <v>5.4060250066512175E-2</v>
      </c>
      <c r="AD14" s="31">
        <f t="shared" si="9"/>
        <v>-3.8512961600211899E-2</v>
      </c>
      <c r="AE14" s="31">
        <f t="shared" si="10"/>
        <v>3.4321098307856353E-2</v>
      </c>
      <c r="AF14" s="31">
        <f t="shared" si="11"/>
        <v>1.1834208315639716E-2</v>
      </c>
    </row>
    <row r="15" spans="2:32" ht="30.75" customHeight="1">
      <c r="C15" s="32" t="s">
        <v>322</v>
      </c>
      <c r="D15" s="30">
        <f>D14-D16</f>
        <v>167877</v>
      </c>
      <c r="E15" s="30">
        <f t="shared" ref="E15:I15" si="18">E14-E16</f>
        <v>299724</v>
      </c>
      <c r="F15" s="30">
        <f t="shared" si="18"/>
        <v>282939</v>
      </c>
      <c r="G15" s="30">
        <f t="shared" si="18"/>
        <v>285264</v>
      </c>
      <c r="H15" s="30">
        <f t="shared" si="18"/>
        <v>-219496</v>
      </c>
      <c r="I15" s="30">
        <f t="shared" si="18"/>
        <v>87757</v>
      </c>
      <c r="K15" s="30">
        <f t="shared" ref="K15:P15" si="19">K14-K16</f>
        <v>188764.18784999999</v>
      </c>
      <c r="L15" s="30">
        <f t="shared" si="19"/>
        <v>229126.54099999997</v>
      </c>
      <c r="M15" s="30">
        <f t="shared" si="19"/>
        <v>223686.06200000003</v>
      </c>
      <c r="N15" s="30">
        <f t="shared" si="19"/>
        <v>-97985.984880000004</v>
      </c>
      <c r="O15" s="30">
        <f t="shared" si="19"/>
        <v>177576.10626999999</v>
      </c>
      <c r="P15" s="30">
        <f t="shared" si="19"/>
        <v>53917</v>
      </c>
      <c r="S15" s="32" t="s">
        <v>323</v>
      </c>
      <c r="T15" s="31">
        <f t="shared" si="0"/>
        <v>9.8920744082547623E-3</v>
      </c>
      <c r="U15" s="31">
        <f t="shared" si="1"/>
        <v>1.6590929446093319E-2</v>
      </c>
      <c r="V15" s="31">
        <f t="shared" si="2"/>
        <v>1.3321620962713925E-2</v>
      </c>
      <c r="W15" s="31">
        <f t="shared" si="3"/>
        <v>9.6206052222163052E-3</v>
      </c>
      <c r="X15" s="31">
        <f t="shared" si="4"/>
        <v>-6.7185246230609431E-3</v>
      </c>
      <c r="Y15" s="31">
        <f t="shared" si="5"/>
        <v>2.8251375788593161E-3</v>
      </c>
      <c r="AA15" s="31">
        <f t="shared" si="6"/>
        <v>1.8647187349306274E-2</v>
      </c>
      <c r="AB15" s="31">
        <f t="shared" si="7"/>
        <v>2.535546158523995E-2</v>
      </c>
      <c r="AC15" s="31">
        <f t="shared" si="8"/>
        <v>1.8187047193148634E-2</v>
      </c>
      <c r="AD15" s="31">
        <f t="shared" si="9"/>
        <v>-7.2924226158941089E-3</v>
      </c>
      <c r="AE15" s="31">
        <f t="shared" si="10"/>
        <v>1.380431505129661E-2</v>
      </c>
      <c r="AF15" s="31">
        <f t="shared" si="11"/>
        <v>4.3305620317248992E-3</v>
      </c>
    </row>
    <row r="16" spans="2:32" ht="15" customHeight="1">
      <c r="C16" s="29" t="s">
        <v>324</v>
      </c>
      <c r="D16" s="34">
        <v>227697</v>
      </c>
      <c r="E16" s="34">
        <v>554377</v>
      </c>
      <c r="F16" s="34">
        <v>470876</v>
      </c>
      <c r="G16" s="34">
        <v>654281</v>
      </c>
      <c r="H16" s="34">
        <v>-766221</v>
      </c>
      <c r="I16" s="34">
        <v>559068</v>
      </c>
      <c r="K16" s="34">
        <v>329675.68302</v>
      </c>
      <c r="L16" s="34">
        <v>428803.25</v>
      </c>
      <c r="M16" s="34">
        <v>441211.56099999999</v>
      </c>
      <c r="N16" s="34">
        <v>-419500.54488</v>
      </c>
      <c r="O16" s="34">
        <v>263924.03175000002</v>
      </c>
      <c r="P16" s="34">
        <v>93423</v>
      </c>
      <c r="S16" s="29" t="s">
        <v>324</v>
      </c>
      <c r="T16" s="31">
        <f t="shared" si="0"/>
        <v>1.3416940179633807E-2</v>
      </c>
      <c r="U16" s="31">
        <f t="shared" si="1"/>
        <v>3.0686997682991268E-2</v>
      </c>
      <c r="V16" s="31">
        <f t="shared" si="2"/>
        <v>2.2170261407719976E-2</v>
      </c>
      <c r="W16" s="31">
        <f t="shared" si="3"/>
        <v>2.2065802924297866E-2</v>
      </c>
      <c r="X16" s="31">
        <f t="shared" si="4"/>
        <v>-2.3453159306804583E-2</v>
      </c>
      <c r="Y16" s="31">
        <f t="shared" si="5"/>
        <v>1.7997926272977884E-2</v>
      </c>
      <c r="AA16" s="31">
        <f t="shared" si="6"/>
        <v>3.2567216778796683E-2</v>
      </c>
      <c r="AB16" s="31">
        <f t="shared" si="7"/>
        <v>4.7451963816802195E-2</v>
      </c>
      <c r="AC16" s="31">
        <f t="shared" si="8"/>
        <v>3.5873202873363541E-2</v>
      </c>
      <c r="AD16" s="31">
        <f t="shared" si="9"/>
        <v>-3.122053898431779E-2</v>
      </c>
      <c r="AE16" s="31">
        <f t="shared" si="10"/>
        <v>2.0516783256559746E-2</v>
      </c>
      <c r="AF16" s="31">
        <f t="shared" si="11"/>
        <v>7.503646283914818E-3</v>
      </c>
    </row>
    <row r="17" spans="3:32" ht="15" customHeight="1">
      <c r="C17" s="32" t="s">
        <v>325</v>
      </c>
      <c r="D17" s="34">
        <v>122322</v>
      </c>
      <c r="E17" s="34">
        <v>407508</v>
      </c>
      <c r="F17" s="34">
        <v>408886</v>
      </c>
      <c r="G17" s="34">
        <v>535904</v>
      </c>
      <c r="H17" s="34">
        <v>-168663</v>
      </c>
      <c r="I17" s="34">
        <v>373147</v>
      </c>
      <c r="K17" s="34">
        <v>311695.17190000002</v>
      </c>
      <c r="L17" s="34">
        <v>408476.60800000001</v>
      </c>
      <c r="M17" s="34">
        <v>339273.69699999999</v>
      </c>
      <c r="N17" s="34">
        <v>-481944.64953</v>
      </c>
      <c r="O17" s="34">
        <v>245568.24259000001</v>
      </c>
      <c r="P17" s="34">
        <v>93518</v>
      </c>
      <c r="S17" s="32" t="s">
        <v>326</v>
      </c>
      <c r="T17" s="31">
        <f t="shared" si="0"/>
        <v>7.2077671495591354E-3</v>
      </c>
      <c r="U17" s="31">
        <f t="shared" si="1"/>
        <v>2.2557207553344397E-2</v>
      </c>
      <c r="V17" s="31">
        <f t="shared" si="2"/>
        <v>1.9251585355713585E-2</v>
      </c>
      <c r="W17" s="31">
        <f t="shared" si="3"/>
        <v>1.8073506720114024E-2</v>
      </c>
      <c r="X17" s="31">
        <f t="shared" si="4"/>
        <v>-5.1625839126878299E-3</v>
      </c>
      <c r="Y17" s="31">
        <f t="shared" si="5"/>
        <v>1.2012621353722407E-2</v>
      </c>
      <c r="AA17" s="31">
        <f t="shared" si="6"/>
        <v>3.0791000838104814E-2</v>
      </c>
      <c r="AB17" s="31">
        <f t="shared" si="7"/>
        <v>4.5202589352636886E-2</v>
      </c>
      <c r="AC17" s="31">
        <f t="shared" si="8"/>
        <v>2.7585030035233077E-2</v>
      </c>
      <c r="AD17" s="31">
        <f t="shared" si="9"/>
        <v>-3.5867824017341572E-2</v>
      </c>
      <c r="AE17" s="31">
        <f t="shared" si="10"/>
        <v>1.9089850873018552E-2</v>
      </c>
      <c r="AF17" s="31">
        <f t="shared" si="11"/>
        <v>7.5112765933351092E-3</v>
      </c>
    </row>
    <row r="18" spans="3:32" ht="30.75" customHeight="1">
      <c r="C18" s="32" t="s">
        <v>327</v>
      </c>
      <c r="D18" s="30">
        <f>D16-D17</f>
        <v>105375</v>
      </c>
      <c r="E18" s="30">
        <f t="shared" ref="E18:I18" si="20">E16-E17</f>
        <v>146869</v>
      </c>
      <c r="F18" s="30">
        <f t="shared" si="20"/>
        <v>61990</v>
      </c>
      <c r="G18" s="30">
        <f t="shared" si="20"/>
        <v>118377</v>
      </c>
      <c r="H18" s="30">
        <f t="shared" si="20"/>
        <v>-597558</v>
      </c>
      <c r="I18" s="30">
        <f t="shared" si="20"/>
        <v>185921</v>
      </c>
      <c r="K18" s="30">
        <f t="shared" ref="K18:P18" si="21">K16-K17</f>
        <v>17980.511119999981</v>
      </c>
      <c r="L18" s="30">
        <f t="shared" si="21"/>
        <v>20326.641999999993</v>
      </c>
      <c r="M18" s="30">
        <f t="shared" si="21"/>
        <v>101937.864</v>
      </c>
      <c r="N18" s="30">
        <f t="shared" si="21"/>
        <v>62444.104649999994</v>
      </c>
      <c r="O18" s="30">
        <f t="shared" si="21"/>
        <v>18355.789160000015</v>
      </c>
      <c r="P18" s="30">
        <f t="shared" si="21"/>
        <v>-95</v>
      </c>
      <c r="S18" s="32" t="s">
        <v>328</v>
      </c>
      <c r="T18" s="31">
        <f t="shared" si="0"/>
        <v>6.2091730300746712E-3</v>
      </c>
      <c r="U18" s="31">
        <f t="shared" si="1"/>
        <v>8.1297901296468727E-3</v>
      </c>
      <c r="V18" s="31">
        <f t="shared" si="2"/>
        <v>2.9186760520063908E-3</v>
      </c>
      <c r="W18" s="31">
        <f t="shared" si="3"/>
        <v>3.9922962041838419E-3</v>
      </c>
      <c r="X18" s="31">
        <f t="shared" si="4"/>
        <v>-1.8290575394116753E-2</v>
      </c>
      <c r="Y18" s="31">
        <f t="shared" si="5"/>
        <v>5.9853049192554776E-3</v>
      </c>
      <c r="AA18" s="31">
        <f t="shared" si="6"/>
        <v>1.7762159406918691E-3</v>
      </c>
      <c r="AB18" s="31">
        <f t="shared" si="7"/>
        <v>2.2493744641653053E-3</v>
      </c>
      <c r="AC18" s="31">
        <f t="shared" si="8"/>
        <v>8.2881728381304625E-3</v>
      </c>
      <c r="AD18" s="31">
        <f t="shared" si="9"/>
        <v>4.64728503302378E-3</v>
      </c>
      <c r="AE18" s="31">
        <f t="shared" si="10"/>
        <v>1.4269323835411935E-3</v>
      </c>
      <c r="AF18" s="31">
        <f t="shared" si="11"/>
        <v>-7.63030942029166E-6</v>
      </c>
    </row>
    <row r="19" spans="3:32" ht="15" customHeight="1">
      <c r="C19" s="32" t="s">
        <v>329</v>
      </c>
      <c r="D19" s="36">
        <v>1098</v>
      </c>
      <c r="E19" s="36">
        <v>3651</v>
      </c>
      <c r="F19" s="36">
        <v>3637</v>
      </c>
      <c r="G19" s="36">
        <v>4767</v>
      </c>
      <c r="H19" s="36">
        <v>-1500</v>
      </c>
      <c r="I19" s="36">
        <v>3320</v>
      </c>
      <c r="K19" s="36">
        <v>3890</v>
      </c>
      <c r="L19" s="36">
        <v>4793</v>
      </c>
      <c r="M19" s="36">
        <v>3964</v>
      </c>
      <c r="N19" s="36">
        <v>-5631</v>
      </c>
      <c r="O19" s="36">
        <v>2869</v>
      </c>
      <c r="P19" s="36">
        <v>1093</v>
      </c>
    </row>
    <row r="20" spans="3:32" ht="44.25" customHeight="1">
      <c r="C20" s="28" t="s">
        <v>330</v>
      </c>
      <c r="D20" s="37" t="str">
        <f>IF(ABS(D10-5012624)&lt;2,"OK","확인")</f>
        <v>확인</v>
      </c>
      <c r="E20" s="37" t="str">
        <f>IF(ABS(E10-12410340)&lt;2,"OK","확인")</f>
        <v>확인</v>
      </c>
      <c r="F20" s="37" t="str">
        <f>IF(ABS(F10-6809417)&lt;2,"OK","확인")</f>
        <v>확인</v>
      </c>
      <c r="G20" s="37" t="str">
        <f>IF(ABS(G10--7730313)&lt;2,"OK","확인")</f>
        <v>확인</v>
      </c>
      <c r="H20" s="37" t="str">
        <f>IF(ABS(H10-23467319)&lt;2,"OK","확인")</f>
        <v>확인</v>
      </c>
      <c r="I20" s="37" t="str">
        <f>IF(ABS(I10-47206319)&lt;2,"OK","확인")</f>
        <v>확인</v>
      </c>
      <c r="K20" s="37" t="str">
        <f>IF(ABS(K10-35993876)&lt;2,"OK","확인")</f>
        <v>확인</v>
      </c>
      <c r="L20" s="37" t="str">
        <f>IF(ABS(L10-51633856)&lt;2,"OK","확인")</f>
        <v>확인</v>
      </c>
      <c r="M20" s="37" t="str">
        <f>IF(ABS(M10-43376630)&lt;2,"OK","확인")</f>
        <v>확인</v>
      </c>
      <c r="N20" s="37" t="str">
        <f>IF(ABS(N10-6566976)&lt;2,"OK","확인")</f>
        <v>확인</v>
      </c>
      <c r="O20" s="37" t="str">
        <f>IF(ABS(O10-32725961)&lt;2,"OK","확인")</f>
        <v>확인</v>
      </c>
      <c r="P20" s="37" t="str">
        <f>IF(ABS(P10-43601051)&lt;2,"OK","확인")</f>
        <v>확인</v>
      </c>
      <c r="S20" s="33" t="s">
        <v>331</v>
      </c>
    </row>
    <row r="23" spans="3:32" ht="33" customHeight="1">
      <c r="S23" s="185" t="s">
        <v>332</v>
      </c>
      <c r="T23" s="185"/>
      <c r="U23" s="185"/>
      <c r="V23" s="185"/>
      <c r="W23" s="185"/>
      <c r="X23" s="185"/>
      <c r="Y23" s="185"/>
      <c r="Z23" s="185"/>
      <c r="AA23" s="185"/>
    </row>
    <row r="24" spans="3:32" ht="15" customHeight="1">
      <c r="S24" s="4" t="s">
        <v>27</v>
      </c>
      <c r="U24" s="26" t="s">
        <v>212</v>
      </c>
      <c r="V24" s="26" t="s">
        <v>213</v>
      </c>
      <c r="W24" s="26" t="s">
        <v>214</v>
      </c>
      <c r="X24" s="26" t="s">
        <v>215</v>
      </c>
      <c r="Y24" s="26" t="s">
        <v>216</v>
      </c>
      <c r="AB24" s="26" t="s">
        <v>212</v>
      </c>
      <c r="AC24" s="26" t="s">
        <v>213</v>
      </c>
      <c r="AD24" s="26" t="s">
        <v>214</v>
      </c>
      <c r="AE24" s="26" t="s">
        <v>215</v>
      </c>
      <c r="AF24" s="26" t="s">
        <v>216</v>
      </c>
    </row>
    <row r="25" spans="3:32" ht="15" customHeight="1">
      <c r="S25" s="32" t="s">
        <v>310</v>
      </c>
      <c r="U25" s="31">
        <f>IF(OR(E6="",D6="",D6=0),"",E6/ABS(D6)-1)</f>
        <v>6.4503216955606124E-2</v>
      </c>
      <c r="V25" s="31">
        <f>IF(OR(F6="",E6="",E6=0),"",F6/ABS(E6)-1)</f>
        <v>0.17566865169886481</v>
      </c>
      <c r="W25" s="31">
        <f>IF(OR(G6="",F6="",F6=0),"",G6/ABS(F6)-1)</f>
        <v>0.39607526351656808</v>
      </c>
      <c r="X25" s="31">
        <f t="shared" ref="U25:Y31" si="22">IF(OR(H6="",G6="",G6=0),"",H6/ABS(G6)-1)</f>
        <v>0.10181358647430527</v>
      </c>
      <c r="Y25" s="31">
        <f t="shared" si="22"/>
        <v>-4.9199351532714708E-2</v>
      </c>
      <c r="AB25" s="31">
        <f t="shared" ref="AB25:AF31" si="23">IF(OR(L6="",K6="",K6=0),"",L6/ABS(K6)-1)</f>
        <v>-0.10731629326469405</v>
      </c>
      <c r="AC25" s="31">
        <f t="shared" si="23"/>
        <v>0.3610461529149569</v>
      </c>
      <c r="AD25" s="31">
        <f t="shared" si="23"/>
        <v>9.248479897269446E-2</v>
      </c>
      <c r="AE25" s="31">
        <f t="shared" si="23"/>
        <v>-4.2635027922655389E-2</v>
      </c>
      <c r="AF25" s="31">
        <f t="shared" si="23"/>
        <v>-3.2141676624872773E-2</v>
      </c>
    </row>
    <row r="26" spans="3:32" ht="15" customHeight="1">
      <c r="S26" s="32" t="s">
        <v>311</v>
      </c>
      <c r="U26" s="31">
        <f t="shared" si="22"/>
        <v>4.4580851311378344E-2</v>
      </c>
      <c r="V26" s="31">
        <f t="shared" si="22"/>
        <v>0.2125628630604135</v>
      </c>
      <c r="W26" s="31">
        <f t="shared" si="22"/>
        <v>0.41681414296239727</v>
      </c>
      <c r="X26" s="31">
        <f t="shared" si="22"/>
        <v>0.17670513055972958</v>
      </c>
      <c r="Y26" s="31">
        <f t="shared" si="22"/>
        <v>-0.11568549114289173</v>
      </c>
      <c r="AB26" s="31">
        <f t="shared" si="23"/>
        <v>-0.10503503949834103</v>
      </c>
      <c r="AC26" s="31">
        <f t="shared" si="23"/>
        <v>0.43284534261869623</v>
      </c>
      <c r="AD26" s="31">
        <f t="shared" si="23"/>
        <v>0.19631180076025512</v>
      </c>
      <c r="AE26" s="31">
        <f t="shared" si="23"/>
        <v>-0.10815289382186055</v>
      </c>
      <c r="AF26" s="31">
        <f t="shared" si="23"/>
        <v>-5.4839900503869998E-2</v>
      </c>
    </row>
    <row r="27" spans="3:32" ht="15" customHeight="1">
      <c r="S27" s="32" t="s">
        <v>313</v>
      </c>
      <c r="U27" s="31">
        <f t="shared" si="22"/>
        <v>0.28662295443432884</v>
      </c>
      <c r="V27" s="31">
        <f t="shared" si="22"/>
        <v>-0.15829195497975779</v>
      </c>
      <c r="W27" s="31">
        <f t="shared" si="22"/>
        <v>0.12563890350540863</v>
      </c>
      <c r="X27" s="31">
        <f t="shared" si="22"/>
        <v>-1.127397216832432</v>
      </c>
      <c r="Y27" s="31">
        <f t="shared" si="22"/>
        <v>8.1285466019462227</v>
      </c>
      <c r="AB27" s="31">
        <f t="shared" si="23"/>
        <v>-0.12007846377538345</v>
      </c>
      <c r="AC27" s="31">
        <f t="shared" si="23"/>
        <v>-4.7491953807836662E-2</v>
      </c>
      <c r="AD27" s="31">
        <f t="shared" si="23"/>
        <v>-0.79621279702171366</v>
      </c>
      <c r="AE27" s="31">
        <f t="shared" si="23"/>
        <v>3.2494490118277763</v>
      </c>
      <c r="AF27" s="31">
        <f t="shared" si="23"/>
        <v>0.2072234239817472</v>
      </c>
    </row>
    <row r="28" spans="3:32" ht="15" customHeight="1">
      <c r="S28" s="32" t="s">
        <v>314</v>
      </c>
      <c r="U28" s="31">
        <f t="shared" si="22"/>
        <v>0.23097426438068092</v>
      </c>
      <c r="V28" s="31">
        <f t="shared" si="22"/>
        <v>-0.1014494142174428</v>
      </c>
      <c r="W28" s="31">
        <f t="shared" si="22"/>
        <v>-2.1824478645747769E-2</v>
      </c>
      <c r="X28" s="31">
        <f t="shared" si="22"/>
        <v>0.14073696992951645</v>
      </c>
      <c r="Y28" s="31">
        <f t="shared" si="22"/>
        <v>0.26831675883216888</v>
      </c>
      <c r="AB28" s="31">
        <f t="shared" si="23"/>
        <v>-0.1024846501458303</v>
      </c>
      <c r="AC28" s="31">
        <f t="shared" si="23"/>
        <v>3.9048367824480623E-2</v>
      </c>
      <c r="AD28" s="31">
        <f t="shared" si="23"/>
        <v>-0.11155443516185637</v>
      </c>
      <c r="AE28" s="31">
        <f t="shared" si="23"/>
        <v>0.27391996280952391</v>
      </c>
      <c r="AF28" s="31">
        <f t="shared" si="23"/>
        <v>9.5420264936372678E-2</v>
      </c>
    </row>
    <row r="29" spans="3:32" ht="15" customHeight="1">
      <c r="S29" s="32" t="s">
        <v>316</v>
      </c>
      <c r="U29" s="31">
        <f t="shared" si="22"/>
        <v>0.37257273595010321</v>
      </c>
      <c r="V29" s="31">
        <f t="shared" si="22"/>
        <v>-0.23702860236972867</v>
      </c>
      <c r="W29" s="31">
        <f t="shared" si="22"/>
        <v>0.36619806506152353</v>
      </c>
      <c r="X29" s="31">
        <f t="shared" si="22"/>
        <v>-2.608571101180245</v>
      </c>
      <c r="Y29" s="31">
        <f t="shared" si="22"/>
        <v>-0.48314416425258422</v>
      </c>
      <c r="AB29" s="31">
        <f t="shared" si="23"/>
        <v>-0.13847628488077413</v>
      </c>
      <c r="AC29" s="31">
        <f t="shared" si="23"/>
        <v>-0.14176760859956827</v>
      </c>
      <c r="AD29" s="31">
        <f t="shared" si="23"/>
        <v>-1.6992088084498795</v>
      </c>
      <c r="AE29" s="31">
        <f t="shared" si="23"/>
        <v>-0.26290056538548234</v>
      </c>
      <c r="AF29" s="31">
        <f t="shared" si="23"/>
        <v>0.53104515373223826</v>
      </c>
    </row>
    <row r="30" spans="3:32" ht="15" customHeight="1">
      <c r="S30" s="32" t="s">
        <v>317</v>
      </c>
      <c r="U30" s="31">
        <f t="shared" si="22"/>
        <v>0.14598346703089482</v>
      </c>
      <c r="V30" s="31">
        <f t="shared" si="22"/>
        <v>0.78525558352382396</v>
      </c>
      <c r="W30" s="31">
        <f t="shared" si="22"/>
        <v>-0.26615914644930982</v>
      </c>
      <c r="X30" s="31">
        <f t="shared" si="22"/>
        <v>0.22155914252253162</v>
      </c>
      <c r="Y30" s="31">
        <f t="shared" si="22"/>
        <v>-0.28075908773860436</v>
      </c>
      <c r="AB30" s="31">
        <f t="shared" si="23"/>
        <v>-0.39271775775222073</v>
      </c>
      <c r="AC30" s="31">
        <f t="shared" si="23"/>
        <v>0.53807392837510037</v>
      </c>
      <c r="AD30" s="31">
        <f t="shared" si="23"/>
        <v>0.30377951649444923</v>
      </c>
      <c r="AE30" s="31">
        <f t="shared" si="23"/>
        <v>0.54551259059329626</v>
      </c>
      <c r="AF30" s="31">
        <f t="shared" si="23"/>
        <v>-9.8893967141686301E-2</v>
      </c>
    </row>
    <row r="31" spans="3:32" ht="15" customHeight="1">
      <c r="S31" s="32" t="s">
        <v>318</v>
      </c>
      <c r="U31" s="31">
        <f t="shared" si="22"/>
        <v>-0.38517505737584845</v>
      </c>
      <c r="V31" s="31">
        <f t="shared" si="22"/>
        <v>0.40399491700420942</v>
      </c>
      <c r="W31" s="31">
        <f t="shared" si="22"/>
        <v>-0.20137235047545776</v>
      </c>
      <c r="X31" s="31">
        <f t="shared" si="22"/>
        <v>0.21668945098066983</v>
      </c>
      <c r="Y31" s="31">
        <f t="shared" si="22"/>
        <v>0.18069988531242176</v>
      </c>
      <c r="AB31" s="31">
        <f t="shared" si="23"/>
        <v>-0.18095426551570137</v>
      </c>
      <c r="AC31" s="31">
        <f t="shared" si="23"/>
        <v>0.61778004456722546</v>
      </c>
      <c r="AD31" s="31">
        <f t="shared" si="23"/>
        <v>0.56732994026335604</v>
      </c>
      <c r="AE31" s="31">
        <f t="shared" si="23"/>
        <v>0.33348015656555341</v>
      </c>
      <c r="AF31" s="31">
        <f t="shared" si="23"/>
        <v>-6.9587677041197504E-2</v>
      </c>
    </row>
    <row r="33" spans="19:32" ht="15" customHeight="1">
      <c r="S33" s="32" t="s">
        <v>321</v>
      </c>
      <c r="U33" s="31">
        <f t="shared" ref="U33:Y36" si="24">IF(OR(E14="",D14="",D14=0),"",E14/ABS(D14)-1)</f>
        <v>1.159143421964032</v>
      </c>
      <c r="V33" s="31">
        <f t="shared" si="24"/>
        <v>-0.11741702679191335</v>
      </c>
      <c r="W33" s="31">
        <f t="shared" si="24"/>
        <v>0.24638671292027881</v>
      </c>
      <c r="X33" s="31">
        <f t="shared" si="24"/>
        <v>-2.0491429362084839</v>
      </c>
      <c r="Y33" s="31">
        <f t="shared" si="24"/>
        <v>-0.34380253155824647</v>
      </c>
      <c r="AB33" s="31">
        <f t="shared" ref="AB33:AF36" si="25">IF(OR(L14="",K14="",K14=0),"",L14/ABS(K14)-1)</f>
        <v>0.26905708447137822</v>
      </c>
      <c r="AC33" s="31">
        <f t="shared" si="25"/>
        <v>1.0590540351440136E-2</v>
      </c>
      <c r="AD33" s="31">
        <f t="shared" si="25"/>
        <v>-1.7782950515375808</v>
      </c>
      <c r="AE33" s="31">
        <f t="shared" si="25"/>
        <v>-0.14683742932447141</v>
      </c>
      <c r="AF33" s="31">
        <f t="shared" si="25"/>
        <v>-0.66627417001322553</v>
      </c>
    </row>
    <row r="34" spans="19:32" ht="15" customHeight="1">
      <c r="S34" s="32" t="s">
        <v>323</v>
      </c>
      <c r="U34" s="31">
        <f t="shared" si="24"/>
        <v>0.78537858074661804</v>
      </c>
      <c r="V34" s="31">
        <f t="shared" si="24"/>
        <v>-5.6001521399687726E-2</v>
      </c>
      <c r="W34" s="31">
        <f t="shared" si="24"/>
        <v>8.2173189274012959E-3</v>
      </c>
      <c r="X34" s="31">
        <f t="shared" si="24"/>
        <v>-1.7694486510740928</v>
      </c>
      <c r="Y34" s="31">
        <f t="shared" si="24"/>
        <v>-0.60018861391551548</v>
      </c>
      <c r="AB34" s="31">
        <f t="shared" si="25"/>
        <v>0.2138242089758764</v>
      </c>
      <c r="AC34" s="31">
        <f t="shared" si="25"/>
        <v>-2.3744429502821962E-2</v>
      </c>
      <c r="AD34" s="31">
        <f t="shared" si="25"/>
        <v>-1.4380513653997806</v>
      </c>
      <c r="AE34" s="31">
        <f t="shared" si="25"/>
        <v>0.81226025831623994</v>
      </c>
      <c r="AF34" s="31">
        <f t="shared" si="25"/>
        <v>-0.69637243921757941</v>
      </c>
    </row>
    <row r="35" spans="19:32" ht="15" customHeight="1">
      <c r="S35" s="32" t="s">
        <v>324</v>
      </c>
      <c r="U35" s="31">
        <f t="shared" si="24"/>
        <v>1.4347136765086934</v>
      </c>
      <c r="V35" s="31">
        <f t="shared" si="24"/>
        <v>-0.15062132808540041</v>
      </c>
      <c r="W35" s="31">
        <f t="shared" si="24"/>
        <v>0.38949744731096936</v>
      </c>
      <c r="X35" s="31">
        <f t="shared" si="24"/>
        <v>-2.1710885689787722</v>
      </c>
      <c r="Y35" s="31">
        <f t="shared" si="24"/>
        <v>-0.27035672475695649</v>
      </c>
      <c r="AB35" s="31">
        <f t="shared" si="25"/>
        <v>0.30068207054866813</v>
      </c>
      <c r="AC35" s="31">
        <f t="shared" si="25"/>
        <v>2.8937073121530599E-2</v>
      </c>
      <c r="AD35" s="31">
        <f t="shared" si="25"/>
        <v>-1.9507922773582989</v>
      </c>
      <c r="AE35" s="31">
        <f t="shared" si="25"/>
        <v>-0.37086128976186039</v>
      </c>
      <c r="AF35" s="31">
        <f t="shared" si="25"/>
        <v>-0.64602314014172757</v>
      </c>
    </row>
    <row r="36" spans="19:32" ht="15" customHeight="1">
      <c r="S36" s="32" t="s">
        <v>326</v>
      </c>
      <c r="U36" s="31">
        <f t="shared" si="24"/>
        <v>2.3314366998577527</v>
      </c>
      <c r="V36" s="31">
        <f t="shared" si="24"/>
        <v>3.3815287061849109E-3</v>
      </c>
      <c r="W36" s="31">
        <f t="shared" si="24"/>
        <v>0.31064404259377909</v>
      </c>
      <c r="X36" s="31">
        <f t="shared" si="24"/>
        <v>-1.3147261449811907</v>
      </c>
      <c r="Y36" s="31">
        <f t="shared" si="24"/>
        <v>1.2123820873576303</v>
      </c>
      <c r="AB36" s="31">
        <f t="shared" si="25"/>
        <v>0.31050027342435071</v>
      </c>
      <c r="AC36" s="31">
        <f t="shared" si="25"/>
        <v>-0.16941707222558999</v>
      </c>
      <c r="AD36" s="31">
        <f t="shared" si="25"/>
        <v>-2.4205187545971181</v>
      </c>
      <c r="AE36" s="31">
        <f t="shared" si="25"/>
        <v>-0.49046380568913461</v>
      </c>
      <c r="AF36" s="31">
        <f t="shared" si="25"/>
        <v>-0.6191771419069958</v>
      </c>
    </row>
    <row r="38" spans="19:32" ht="15" customHeight="1">
      <c r="S38" s="32" t="s">
        <v>333</v>
      </c>
      <c r="U38" s="31">
        <f>IF(OR(E19="",D19="",D19=0),"",E19/ABS(D19)-1)</f>
        <v>2.3251366120218577</v>
      </c>
      <c r="V38" s="31">
        <f>IF(OR(F19="",E19="",E19=0),"",F19/ABS(E19)-1)</f>
        <v>-3.8345658723637488E-3</v>
      </c>
      <c r="W38" s="31">
        <f>IF(OR(G19="",F19="",F19=0),"",G19/ABS(F19)-1)</f>
        <v>0.3106956282650537</v>
      </c>
      <c r="X38" s="31">
        <f>IF(OR(H19="",G19="",G19=0),"",H19/ABS(G19)-1)</f>
        <v>-1.3146633102580239</v>
      </c>
      <c r="Y38" s="31">
        <f>IF(OR(I19="",H19="",H19=0),"",I19/ABS(H19)-1)</f>
        <v>1.2133333333333334</v>
      </c>
      <c r="AB38" s="31">
        <f>IF(OR(L19="",K19="",K19=0),"",L19/ABS(K19)-1)</f>
        <v>0.23213367609254498</v>
      </c>
      <c r="AC38" s="31">
        <f>IF(OR(M19="",L19="",L19=0),"",M19/ABS(L19)-1)</f>
        <v>-0.17296056749426247</v>
      </c>
      <c r="AD38" s="31">
        <f>IF(OR(N19="",M19="",M19=0),"",N19/ABS(M19)-1)</f>
        <v>-2.420534813319879</v>
      </c>
      <c r="AE38" s="31">
        <f>IF(OR(O19="",N19="",N19=0),"",O19/ABS(N19)-1)</f>
        <v>-0.49049902326407391</v>
      </c>
      <c r="AF38" s="31">
        <f>IF(OR(P19="",O19="",O19=0),"",P19/ABS(O19)-1)</f>
        <v>-0.61903102126176368</v>
      </c>
    </row>
  </sheetData>
  <mergeCells count="7">
    <mergeCell ref="AA4:AF4"/>
    <mergeCell ref="S23:AA23"/>
    <mergeCell ref="B1:G1"/>
    <mergeCell ref="B2:I2"/>
    <mergeCell ref="D4:I4"/>
    <mergeCell ref="K4:P4"/>
    <mergeCell ref="T4:Y4"/>
  </mergeCells>
  <phoneticPr fontId="35" type="noConversion"/>
  <conditionalFormatting sqref="U25:Y39">
    <cfRule type="cellIs" dxfId="3" priority="2" operator="greaterThan">
      <formula>0.3</formula>
    </cfRule>
    <cfRule type="cellIs" dxfId="2" priority="3" operator="lessThan">
      <formula>-0.3</formula>
    </cfRule>
  </conditionalFormatting>
  <conditionalFormatting sqref="AB25:AF39">
    <cfRule type="cellIs" dxfId="1" priority="4" operator="greaterThan">
      <formula>0.3</formula>
    </cfRule>
    <cfRule type="cellIs" dxfId="0" priority="5" operator="lessThan">
      <formula>-0.3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H13"/>
  <sheetViews>
    <sheetView showGridLines="0" zoomScaleNormal="100" workbookViewId="0">
      <selection activeCell="D10" sqref="D10:H10"/>
    </sheetView>
  </sheetViews>
  <sheetFormatPr defaultColWidth="8.7109375" defaultRowHeight="15"/>
  <cols>
    <col min="1" max="1" width="5.5703125" customWidth="1"/>
    <col min="2" max="2" width="3.7109375" customWidth="1"/>
    <col min="3" max="3" width="14.5703125" customWidth="1"/>
    <col min="4" max="4" width="145.85546875" customWidth="1"/>
    <col min="5" max="5" width="12" customWidth="1"/>
  </cols>
  <sheetData>
    <row r="1" spans="1:8" ht="25.5" customHeight="1">
      <c r="A1" s="3"/>
      <c r="B1" s="151" t="s">
        <v>334</v>
      </c>
      <c r="C1" s="151"/>
      <c r="D1" s="151"/>
      <c r="E1" s="3"/>
    </row>
    <row r="2" spans="1:8" ht="15.75" customHeight="1">
      <c r="A2" s="3"/>
      <c r="B2" s="125" t="s">
        <v>335</v>
      </c>
      <c r="C2" s="125"/>
      <c r="D2" s="125"/>
      <c r="E2" s="3"/>
    </row>
    <row r="3" spans="1:8" ht="15" customHeight="1">
      <c r="A3" s="3"/>
      <c r="B3" s="3"/>
      <c r="C3" s="3"/>
      <c r="D3" s="3"/>
      <c r="E3" s="3"/>
    </row>
    <row r="4" spans="1:8" ht="15" customHeight="1">
      <c r="A4" s="3"/>
      <c r="B4" s="3"/>
      <c r="C4" s="4" t="s">
        <v>82</v>
      </c>
      <c r="D4" s="4" t="s">
        <v>336</v>
      </c>
      <c r="E4" s="4" t="s">
        <v>337</v>
      </c>
    </row>
    <row r="5" spans="1:8" ht="30" customHeight="1">
      <c r="A5" s="3"/>
      <c r="B5" s="3"/>
      <c r="C5" s="88" t="s">
        <v>338</v>
      </c>
      <c r="D5" s="189" t="s">
        <v>339</v>
      </c>
      <c r="E5" s="189"/>
      <c r="F5" s="89"/>
      <c r="G5" s="89"/>
      <c r="H5" s="89"/>
    </row>
    <row r="6" spans="1:8" ht="30" customHeight="1">
      <c r="A6" s="3"/>
      <c r="B6" s="3"/>
      <c r="C6" s="88" t="s">
        <v>340</v>
      </c>
      <c r="D6" s="191" t="s">
        <v>341</v>
      </c>
      <c r="E6" s="191"/>
      <c r="F6" s="191"/>
      <c r="G6" s="191"/>
      <c r="H6" s="89"/>
    </row>
    <row r="7" spans="1:8" ht="30" customHeight="1">
      <c r="A7" s="3"/>
      <c r="B7" s="3"/>
      <c r="C7" s="88" t="s">
        <v>342</v>
      </c>
      <c r="D7" s="191" t="s">
        <v>343</v>
      </c>
      <c r="E7" s="191"/>
      <c r="F7" s="89"/>
      <c r="G7" s="89"/>
      <c r="H7" s="89"/>
    </row>
    <row r="8" spans="1:8" ht="30" customHeight="1">
      <c r="A8" s="3"/>
      <c r="B8" s="3"/>
      <c r="C8" s="88" t="s">
        <v>344</v>
      </c>
      <c r="D8" s="189" t="s">
        <v>345</v>
      </c>
      <c r="E8" s="189"/>
      <c r="F8" s="189"/>
      <c r="G8" s="189"/>
      <c r="H8" s="89"/>
    </row>
    <row r="9" spans="1:8" ht="30" customHeight="1">
      <c r="A9" s="3"/>
      <c r="B9" s="3"/>
      <c r="C9" s="88" t="s">
        <v>346</v>
      </c>
      <c r="D9" s="189" t="s">
        <v>347</v>
      </c>
      <c r="E9" s="189"/>
      <c r="F9" s="189"/>
      <c r="G9" s="189"/>
      <c r="H9" s="189"/>
    </row>
    <row r="10" spans="1:8" ht="30" customHeight="1">
      <c r="A10" s="3"/>
      <c r="B10" s="3"/>
      <c r="C10" s="88" t="s">
        <v>348</v>
      </c>
      <c r="D10" s="190" t="s">
        <v>424</v>
      </c>
      <c r="E10" s="189"/>
      <c r="F10" s="189"/>
      <c r="G10" s="189"/>
      <c r="H10" s="189"/>
    </row>
    <row r="11" spans="1:8" ht="30" customHeight="1">
      <c r="A11" s="3"/>
      <c r="B11" s="3"/>
      <c r="C11" s="88" t="s">
        <v>349</v>
      </c>
      <c r="D11" s="191" t="s">
        <v>350</v>
      </c>
      <c r="E11" s="191"/>
      <c r="F11" s="191"/>
      <c r="G11" s="191"/>
      <c r="H11" s="89"/>
    </row>
    <row r="12" spans="1:8" ht="15" customHeight="1">
      <c r="A12" s="3"/>
      <c r="B12" s="3"/>
      <c r="C12" s="88"/>
      <c r="D12" s="115" t="s">
        <v>351</v>
      </c>
      <c r="E12" s="115" t="str">
        <f>COUNTIF(E5:E11,"O")&amp;" / 7"</f>
        <v>0 / 7</v>
      </c>
      <c r="F12" s="89"/>
      <c r="G12" s="89"/>
      <c r="H12" s="89"/>
    </row>
    <row r="13" spans="1:8">
      <c r="C13" s="89"/>
      <c r="D13" s="89"/>
      <c r="E13" s="89"/>
      <c r="F13" s="89"/>
      <c r="G13" s="89"/>
      <c r="H13" s="89"/>
    </row>
  </sheetData>
  <mergeCells count="9">
    <mergeCell ref="D8:G8"/>
    <mergeCell ref="D9:H9"/>
    <mergeCell ref="D10:H10"/>
    <mergeCell ref="D11:G11"/>
    <mergeCell ref="B1:D1"/>
    <mergeCell ref="B2:D2"/>
    <mergeCell ref="D5:E5"/>
    <mergeCell ref="D6:G6"/>
    <mergeCell ref="D7:E7"/>
  </mergeCells>
  <phoneticPr fontId="3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00_사용안내</vt:lpstr>
      <vt:lpstr>1-1_기업선정</vt:lpstr>
      <vt:lpstr>1-2_기업개요비교</vt:lpstr>
      <vt:lpstr>1-3_주가추이_월별</vt:lpstr>
      <vt:lpstr>1-4_보고서비교</vt:lpstr>
      <vt:lpstr>1-5_애널리스트보고서</vt:lpstr>
      <vt:lpstr>1-6_신용평가보고서</vt:lpstr>
      <vt:lpstr>2-0_왜_이_실습인가</vt:lpstr>
      <vt:lpstr>2-1_재무상태표</vt:lpstr>
      <vt:lpstr>2-2_공통형_해석</vt:lpstr>
      <vt:lpstr>2-3_PBR_비교</vt:lpstr>
      <vt:lpstr>3-1_손익계산서</vt:lpstr>
      <vt:lpstr>제출체크리스트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누리관 PC실</cp:lastModifiedBy>
  <cp:revision>17</cp:revision>
  <dcterms:created xsi:type="dcterms:W3CDTF">2026-09-12T14:53:24Z</dcterms:created>
  <dcterms:modified xsi:type="dcterms:W3CDTF">2026-09-21T04:31:34Z</dcterms:modified>
  <dc:language>en-US</dc:language>
</cp:coreProperties>
</file>